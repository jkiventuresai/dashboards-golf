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jkinvestments-my.sharepoint.com/personal/kmyers_jkiventures_com/Documents/.Main Documents/Projects/linux-sync/11-github/jkiventuresai/dashboards-golf-main/data/"/>
    </mc:Choice>
  </mc:AlternateContent>
  <xr:revisionPtr revIDLastSave="145" documentId="13_ncr:1_{CCA56ABA-0CD9-47C2-BF76-493893444AFF}" xr6:coauthVersionLast="47" xr6:coauthVersionMax="47" xr10:uidLastSave="{15A4B2C1-6AE6-44B9-956F-AA90125D9057}"/>
  <bookViews>
    <workbookView xWindow="28680" yWindow="-120" windowWidth="29040" windowHeight="15720" xr2:uid="{00000000-000D-0000-FFFF-FFFF00000000}"/>
  </bookViews>
  <sheets>
    <sheet name="Score Tracker" sheetId="1" r:id="rId1"/>
    <sheet name="Course Rankings" sheetId="17" state="hidden" r:id="rId2"/>
    <sheet name="PIVOT - Scores by Course" sheetId="11" state="hidden" r:id="rId3"/>
    <sheet name="DASH" sheetId="3" state="hidden" r:id="rId4"/>
    <sheet name="Sheet3" sheetId="4" state="hidden" r:id="rId5"/>
    <sheet name="PIVOT - Avg Scores (Full18)" sheetId="6" state="hidden" r:id="rId6"/>
    <sheet name="PIVOT - Avc HC (Full18)" sheetId="7" state="hidden" r:id="rId7"/>
    <sheet name="PIVOT - Courses (All Data)" sheetId="8" state="hidden" r:id="rId8"/>
    <sheet name="PIVOT - Front v Back (Full 18)" sheetId="9" state="hidden" r:id="rId9"/>
    <sheet name="Shots" sheetId="12" state="hidden" r:id="rId10"/>
    <sheet name="Put Tracker" sheetId="15" state="hidden" r:id="rId11"/>
    <sheet name="Yardages " sheetId="5" state="hidden" r:id="rId12"/>
    <sheet name="Shots Analysis" sheetId="14" state="hidden" r:id="rId13"/>
  </sheets>
  <definedNames>
    <definedName name="_xlnm._FilterDatabase" localSheetId="1" hidden="1">'Course Rankings'!$A$1:$I$1</definedName>
    <definedName name="_xlnm._FilterDatabase" localSheetId="0" hidden="1">'Score Tracker'!$A$1:$V$1</definedName>
    <definedName name="_xlnm.Print_Area" localSheetId="3">DASH!$A$1:$M$99</definedName>
  </definedNames>
  <calcPr calcId="191028"/>
  <pivotCaches>
    <pivotCache cacheId="0" r:id="rId14"/>
    <pivotCache cacheId="1" r:id="rId15"/>
    <pivotCache cacheId="2" r:id="rId16"/>
    <pivotCache cacheId="3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" i="1" l="1"/>
  <c r="A169" i="1"/>
  <c r="J96" i="1"/>
  <c r="I96" i="1"/>
  <c r="F96" i="1"/>
  <c r="J95" i="1"/>
  <c r="I95" i="1"/>
  <c r="F95" i="1"/>
  <c r="F94" i="1"/>
  <c r="I94" i="1"/>
  <c r="J94" i="1"/>
  <c r="D17" i="1"/>
  <c r="C17" i="1"/>
  <c r="J93" i="1"/>
  <c r="I93" i="1"/>
  <c r="F93" i="1"/>
  <c r="J92" i="1"/>
  <c r="I92" i="1"/>
  <c r="F92" i="1"/>
  <c r="D10" i="1"/>
  <c r="C10" i="1"/>
  <c r="F91" i="1"/>
  <c r="I91" i="1"/>
  <c r="J91" i="1"/>
  <c r="J90" i="1"/>
  <c r="I90" i="1"/>
  <c r="F90" i="1"/>
  <c r="D16" i="1"/>
  <c r="C16" i="1"/>
  <c r="F89" i="1"/>
  <c r="I89" i="1"/>
  <c r="J89" i="1"/>
  <c r="J88" i="1"/>
  <c r="I88" i="1"/>
  <c r="F88" i="1"/>
  <c r="J87" i="1"/>
  <c r="I87" i="1"/>
  <c r="F87" i="1"/>
  <c r="J86" i="1"/>
  <c r="I86" i="1"/>
  <c r="H86" i="1" s="1"/>
  <c r="F86" i="1"/>
  <c r="I5" i="17"/>
  <c r="H5" i="17"/>
  <c r="G5" i="17"/>
  <c r="F5" i="17"/>
  <c r="E5" i="17"/>
  <c r="D5" i="17"/>
  <c r="E6" i="17"/>
  <c r="C3" i="1"/>
  <c r="D3" i="1"/>
  <c r="B3" i="1" s="1"/>
  <c r="C4" i="1"/>
  <c r="D4" i="1"/>
  <c r="C5" i="1"/>
  <c r="D5" i="1"/>
  <c r="C6" i="1"/>
  <c r="D6" i="1"/>
  <c r="C7" i="1"/>
  <c r="D7" i="1"/>
  <c r="C8" i="1"/>
  <c r="D8" i="1"/>
  <c r="C9" i="1"/>
  <c r="D9" i="1"/>
  <c r="B9" i="1" s="1"/>
  <c r="C11" i="1"/>
  <c r="D11" i="1"/>
  <c r="C12" i="1"/>
  <c r="D12" i="1"/>
  <c r="C13" i="1"/>
  <c r="D13" i="1"/>
  <c r="C14" i="1"/>
  <c r="D14" i="1"/>
  <c r="C15" i="1"/>
  <c r="D15" i="1"/>
  <c r="B15" i="1" s="1"/>
  <c r="E83" i="1" s="1"/>
  <c r="D2" i="1"/>
  <c r="C2" i="1"/>
  <c r="J85" i="1"/>
  <c r="I85" i="1"/>
  <c r="H85" i="1" s="1"/>
  <c r="F85" i="1"/>
  <c r="J84" i="1"/>
  <c r="I84" i="1"/>
  <c r="F84" i="1"/>
  <c r="D2" i="17"/>
  <c r="E4" i="17"/>
  <c r="F4" i="17"/>
  <c r="G4" i="17"/>
  <c r="H4" i="17"/>
  <c r="I4" i="17"/>
  <c r="E3" i="17"/>
  <c r="F3" i="17"/>
  <c r="G3" i="17"/>
  <c r="H3" i="17"/>
  <c r="I3" i="17"/>
  <c r="E10" i="17"/>
  <c r="F10" i="17"/>
  <c r="G10" i="17"/>
  <c r="H10" i="17"/>
  <c r="I10" i="17"/>
  <c r="E11" i="17"/>
  <c r="F11" i="17"/>
  <c r="G11" i="17"/>
  <c r="H11" i="17"/>
  <c r="I11" i="17"/>
  <c r="E8" i="17"/>
  <c r="B8" i="17"/>
  <c r="F8" i="17"/>
  <c r="G8" i="17"/>
  <c r="H8" i="17"/>
  <c r="I8" i="17"/>
  <c r="E9" i="17"/>
  <c r="F9" i="17"/>
  <c r="G9" i="17"/>
  <c r="H9" i="17"/>
  <c r="I9" i="17"/>
  <c r="E2" i="17"/>
  <c r="F2" i="17"/>
  <c r="G2" i="17"/>
  <c r="H2" i="17"/>
  <c r="I2" i="17"/>
  <c r="E7" i="17"/>
  <c r="F7" i="17"/>
  <c r="G7" i="17"/>
  <c r="H7" i="17"/>
  <c r="I7" i="17"/>
  <c r="I6" i="17"/>
  <c r="H6" i="17"/>
  <c r="G6" i="17"/>
  <c r="F6" i="17"/>
  <c r="D4" i="17"/>
  <c r="D3" i="17"/>
  <c r="D10" i="17"/>
  <c r="D11" i="17"/>
  <c r="D8" i="17"/>
  <c r="D9" i="17"/>
  <c r="D7" i="17"/>
  <c r="B7" i="17"/>
  <c r="D6" i="17"/>
  <c r="J83" i="1"/>
  <c r="I83" i="1"/>
  <c r="F83" i="1"/>
  <c r="J82" i="1"/>
  <c r="I82" i="1"/>
  <c r="F82" i="1"/>
  <c r="F81" i="1"/>
  <c r="I81" i="1"/>
  <c r="J81" i="1"/>
  <c r="F80" i="1"/>
  <c r="I80" i="1"/>
  <c r="J80" i="1"/>
  <c r="J79" i="1"/>
  <c r="I79" i="1"/>
  <c r="F79" i="1"/>
  <c r="J78" i="1"/>
  <c r="I78" i="1"/>
  <c r="F78" i="1"/>
  <c r="J77" i="1"/>
  <c r="I77" i="1"/>
  <c r="F77" i="1"/>
  <c r="J75" i="1"/>
  <c r="I75" i="1"/>
  <c r="F75" i="1"/>
  <c r="J76" i="1"/>
  <c r="I76" i="1"/>
  <c r="F76" i="1"/>
  <c r="J74" i="1"/>
  <c r="I74" i="1"/>
  <c r="F74" i="1"/>
  <c r="J73" i="1"/>
  <c r="I73" i="1"/>
  <c r="F73" i="1"/>
  <c r="J72" i="1"/>
  <c r="I72" i="1"/>
  <c r="F72" i="1"/>
  <c r="J71" i="1"/>
  <c r="I71" i="1"/>
  <c r="F71" i="1"/>
  <c r="J70" i="1"/>
  <c r="I70" i="1"/>
  <c r="F70" i="1"/>
  <c r="J69" i="1"/>
  <c r="I69" i="1"/>
  <c r="I68" i="1"/>
  <c r="J68" i="1"/>
  <c r="F69" i="1"/>
  <c r="F68" i="1"/>
  <c r="F67" i="1"/>
  <c r="I67" i="1"/>
  <c r="J67" i="1"/>
  <c r="I26" i="1"/>
  <c r="H26" i="1" s="1"/>
  <c r="I27" i="1"/>
  <c r="I28" i="1"/>
  <c r="H28" i="1" s="1"/>
  <c r="I29" i="1"/>
  <c r="H29" i="1" s="1"/>
  <c r="I30" i="1"/>
  <c r="I31" i="1"/>
  <c r="H31" i="1" s="1"/>
  <c r="I32" i="1"/>
  <c r="H32" i="1" s="1"/>
  <c r="I33" i="1"/>
  <c r="I34" i="1"/>
  <c r="I35" i="1"/>
  <c r="I36" i="1"/>
  <c r="I37" i="1"/>
  <c r="H37" i="1" s="1"/>
  <c r="I38" i="1"/>
  <c r="I39" i="1"/>
  <c r="I40" i="1"/>
  <c r="I41" i="1"/>
  <c r="H41" i="1" s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6" i="1"/>
  <c r="J66" i="1"/>
  <c r="F66" i="1"/>
  <c r="F65" i="1"/>
  <c r="H65" i="1"/>
  <c r="J64" i="1"/>
  <c r="F64" i="1"/>
  <c r="J63" i="1"/>
  <c r="F63" i="1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J62" i="1"/>
  <c r="F62" i="1"/>
  <c r="J61" i="1"/>
  <c r="H61" i="1" s="1"/>
  <c r="F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0" i="1"/>
  <c r="J39" i="1"/>
  <c r="J38" i="1"/>
  <c r="J36" i="1"/>
  <c r="H36" i="1" s="1"/>
  <c r="J35" i="1"/>
  <c r="J34" i="1"/>
  <c r="J33" i="1"/>
  <c r="J30" i="1"/>
  <c r="J27" i="1"/>
  <c r="D24" i="5"/>
  <c r="D25" i="5"/>
  <c r="C28" i="5"/>
  <c r="C27" i="5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37" i="1"/>
  <c r="F45" i="1"/>
  <c r="F44" i="1"/>
  <c r="F43" i="1"/>
  <c r="F42" i="1"/>
  <c r="F41" i="1"/>
  <c r="F40" i="1"/>
  <c r="C9" i="5"/>
  <c r="D9" i="5"/>
  <c r="C10" i="5"/>
  <c r="D10" i="5"/>
  <c r="C11" i="5"/>
  <c r="C12" i="5"/>
  <c r="C13" i="5"/>
  <c r="F32" i="1"/>
  <c r="F31" i="1"/>
  <c r="F29" i="1"/>
  <c r="F28" i="1"/>
  <c r="F26" i="1"/>
  <c r="F39" i="1"/>
  <c r="F36" i="1"/>
  <c r="F35" i="1"/>
  <c r="F34" i="1"/>
  <c r="F33" i="1"/>
  <c r="F30" i="1"/>
  <c r="F27" i="1"/>
  <c r="F38" i="1"/>
  <c r="B16" i="1"/>
  <c r="E89" i="1" s="1"/>
  <c r="B11" i="1"/>
  <c r="B4" i="1"/>
  <c r="E79" i="1" s="1"/>
  <c r="B2" i="1"/>
  <c r="E36" i="1" s="1"/>
  <c r="B6" i="1"/>
  <c r="E55" i="1" s="1"/>
  <c r="B12" i="1"/>
  <c r="B13" i="1"/>
  <c r="B5" i="1"/>
  <c r="E96" i="1" s="1"/>
  <c r="E51" i="1"/>
  <c r="B5" i="17"/>
  <c r="B2" i="17"/>
  <c r="B3" i="17"/>
  <c r="B10" i="17"/>
  <c r="B4" i="17"/>
  <c r="B11" i="17"/>
  <c r="B9" i="17"/>
  <c r="B6" i="17"/>
  <c r="H79" i="1" l="1"/>
  <c r="H35" i="1"/>
  <c r="H67" i="1"/>
  <c r="H80" i="1"/>
  <c r="H56" i="1"/>
  <c r="H40" i="1"/>
  <c r="H87" i="1"/>
  <c r="H75" i="1"/>
  <c r="H44" i="1"/>
  <c r="B17" i="1"/>
  <c r="E94" i="1" s="1"/>
  <c r="G94" i="1" s="1"/>
  <c r="H30" i="1"/>
  <c r="E75" i="1"/>
  <c r="G75" i="1" s="1"/>
  <c r="E47" i="1"/>
  <c r="E49" i="1"/>
  <c r="E41" i="1"/>
  <c r="G41" i="1" s="1"/>
  <c r="E61" i="1"/>
  <c r="G61" i="1" s="1"/>
  <c r="E43" i="1"/>
  <c r="H45" i="1"/>
  <c r="E46" i="1"/>
  <c r="E80" i="1"/>
  <c r="G80" i="1" s="1"/>
  <c r="E63" i="1"/>
  <c r="E34" i="1"/>
  <c r="E28" i="1"/>
  <c r="G28" i="1" s="1"/>
  <c r="E33" i="1"/>
  <c r="E53" i="1"/>
  <c r="E87" i="1"/>
  <c r="E39" i="1"/>
  <c r="E57" i="1"/>
  <c r="H94" i="1"/>
  <c r="E77" i="1"/>
  <c r="B7" i="1"/>
  <c r="E60" i="1" s="1"/>
  <c r="B10" i="1"/>
  <c r="E91" i="1" s="1"/>
  <c r="E74" i="1"/>
  <c r="E66" i="1"/>
  <c r="E32" i="1"/>
  <c r="E59" i="1"/>
  <c r="E92" i="1"/>
  <c r="E54" i="1"/>
  <c r="E69" i="1"/>
  <c r="E42" i="1"/>
  <c r="E70" i="1"/>
  <c r="E73" i="1"/>
  <c r="E37" i="1"/>
  <c r="G37" i="1" s="1"/>
  <c r="E72" i="1"/>
  <c r="E64" i="1"/>
  <c r="E38" i="1"/>
  <c r="E95" i="1"/>
  <c r="E35" i="1"/>
  <c r="G35" i="1" s="1"/>
  <c r="E29" i="1"/>
  <c r="G29" i="1" s="1"/>
  <c r="E27" i="1"/>
  <c r="E52" i="1"/>
  <c r="E30" i="1"/>
  <c r="E31" i="1"/>
  <c r="G31" i="1" s="1"/>
  <c r="H95" i="1"/>
  <c r="E62" i="1"/>
  <c r="E48" i="1"/>
  <c r="E81" i="1"/>
  <c r="E50" i="1"/>
  <c r="H71" i="1"/>
  <c r="H76" i="1"/>
  <c r="E26" i="1"/>
  <c r="G26" i="1" s="1"/>
  <c r="E56" i="1"/>
  <c r="G56" i="1" s="1"/>
  <c r="E40" i="1"/>
  <c r="E44" i="1"/>
  <c r="E78" i="1"/>
  <c r="H69" i="1"/>
  <c r="H73" i="1"/>
  <c r="H77" i="1"/>
  <c r="H81" i="1"/>
  <c r="B8" i="1"/>
  <c r="E67" i="1" s="1"/>
  <c r="G67" i="1" s="1"/>
  <c r="H91" i="1"/>
  <c r="E65" i="1"/>
  <c r="G65" i="1" s="1"/>
  <c r="B14" i="1"/>
  <c r="E85" i="1" s="1"/>
  <c r="G85" i="1" s="1"/>
  <c r="H51" i="1"/>
  <c r="G51" i="1" s="1"/>
  <c r="H63" i="1"/>
  <c r="H60" i="1"/>
  <c r="H48" i="1"/>
  <c r="E86" i="1"/>
  <c r="G86" i="1" s="1"/>
  <c r="H52" i="1"/>
  <c r="E71" i="1"/>
  <c r="E68" i="1"/>
  <c r="E45" i="1"/>
  <c r="G45" i="1" s="1"/>
  <c r="H53" i="1"/>
  <c r="E58" i="1"/>
  <c r="E76" i="1"/>
  <c r="E82" i="1"/>
  <c r="E90" i="1"/>
  <c r="H43" i="1"/>
  <c r="H66" i="1"/>
  <c r="H59" i="1"/>
  <c r="H47" i="1"/>
  <c r="H78" i="1"/>
  <c r="H46" i="1"/>
  <c r="E84" i="1"/>
  <c r="H34" i="1"/>
  <c r="H88" i="1"/>
  <c r="H55" i="1"/>
  <c r="G55" i="1" s="1"/>
  <c r="E93" i="1"/>
  <c r="H72" i="1"/>
  <c r="H90" i="1"/>
  <c r="E88" i="1"/>
  <c r="H82" i="1"/>
  <c r="H92" i="1"/>
  <c r="H27" i="1"/>
  <c r="H33" i="1"/>
  <c r="G36" i="1"/>
  <c r="H50" i="1"/>
  <c r="H38" i="1"/>
  <c r="H62" i="1"/>
  <c r="H89" i="1"/>
  <c r="G89" i="1" s="1"/>
  <c r="H83" i="1"/>
  <c r="G83" i="1" s="1"/>
  <c r="H57" i="1"/>
  <c r="H54" i="1"/>
  <c r="H42" i="1"/>
  <c r="H58" i="1"/>
  <c r="G79" i="1"/>
  <c r="H70" i="1"/>
  <c r="H74" i="1"/>
  <c r="H84" i="1"/>
  <c r="G32" i="1"/>
  <c r="H64" i="1"/>
  <c r="H93" i="1"/>
  <c r="H96" i="1"/>
  <c r="G96" i="1" s="1"/>
  <c r="H68" i="1"/>
  <c r="H49" i="1"/>
  <c r="H39" i="1"/>
  <c r="G76" i="1" l="1"/>
  <c r="G46" i="1"/>
  <c r="G40" i="1"/>
  <c r="G66" i="1"/>
  <c r="G43" i="1"/>
  <c r="G87" i="1"/>
  <c r="G33" i="1"/>
  <c r="G44" i="1"/>
  <c r="G30" i="1"/>
  <c r="G71" i="1"/>
  <c r="G92" i="1"/>
  <c r="G47" i="1"/>
  <c r="G69" i="1"/>
  <c r="G95" i="1"/>
  <c r="G49" i="1"/>
  <c r="G48" i="1"/>
  <c r="G60" i="1"/>
  <c r="G70" i="1"/>
  <c r="G81" i="1"/>
  <c r="H169" i="1"/>
  <c r="G74" i="1"/>
  <c r="G63" i="1"/>
  <c r="G64" i="1"/>
  <c r="G34" i="1"/>
  <c r="G59" i="1"/>
  <c r="G73" i="1"/>
  <c r="G62" i="1"/>
  <c r="G38" i="1"/>
  <c r="G52" i="1"/>
  <c r="G88" i="1"/>
  <c r="G53" i="1"/>
  <c r="G91" i="1"/>
  <c r="G57" i="1"/>
  <c r="G42" i="1"/>
  <c r="G54" i="1"/>
  <c r="G27" i="1"/>
  <c r="G39" i="1"/>
  <c r="G78" i="1"/>
  <c r="G77" i="1"/>
  <c r="G72" i="1"/>
  <c r="G68" i="1"/>
  <c r="G50" i="1"/>
  <c r="G58" i="1"/>
  <c r="G90" i="1"/>
  <c r="G82" i="1"/>
  <c r="G84" i="1"/>
  <c r="G93" i="1"/>
  <c r="K169" i="1" l="1"/>
</calcChain>
</file>

<file path=xl/sharedStrings.xml><?xml version="1.0" encoding="utf-8"?>
<sst xmlns="http://schemas.openxmlformats.org/spreadsheetml/2006/main" count="1756" uniqueCount="201">
  <si>
    <t>Front</t>
  </si>
  <si>
    <t>Back</t>
  </si>
  <si>
    <t>Course</t>
  </si>
  <si>
    <t>Tanglewood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</si>
  <si>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</si>
  <si>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</si>
  <si>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</si>
  <si>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</si>
  <si>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</si>
  <si>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</si>
  <si>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</si>
  <si>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</si>
  <si>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</si>
  <si>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</si>
  <si>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</si>
  <si>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</si>
  <si>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</si>
  <si>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</si>
  <si>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</si>
  <si>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</si>
  <si>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</si>
  <si>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</si>
  <si>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PAR</t>
  </si>
  <si>
    <t>DATE</t>
  </si>
  <si>
    <t>Name</t>
  </si>
  <si>
    <t>Kyle</t>
  </si>
  <si>
    <t>DNF</t>
  </si>
  <si>
    <t>TOTAL</t>
  </si>
  <si>
    <t>Plantation</t>
  </si>
  <si>
    <t>Holes?</t>
  </si>
  <si>
    <t>Sherrill Park C1</t>
  </si>
  <si>
    <t>Sherrill Park C2</t>
  </si>
  <si>
    <t>Row Labels</t>
  </si>
  <si>
    <t>Grand Total</t>
  </si>
  <si>
    <t>HC</t>
  </si>
  <si>
    <t>FULL LIST</t>
  </si>
  <si>
    <t>GHIN Handicap</t>
  </si>
  <si>
    <t>GHIN SCORE</t>
  </si>
  <si>
    <t>Jan</t>
  </si>
  <si>
    <t>Feb</t>
  </si>
  <si>
    <t>Apr</t>
  </si>
  <si>
    <t>Average of TOTAL</t>
  </si>
  <si>
    <t>Count of Course</t>
  </si>
  <si>
    <t>52 Wedge</t>
  </si>
  <si>
    <t>Pitching Wedge</t>
  </si>
  <si>
    <t>9i</t>
  </si>
  <si>
    <t>8i</t>
  </si>
  <si>
    <t>7i</t>
  </si>
  <si>
    <t>6i</t>
  </si>
  <si>
    <t>5i</t>
  </si>
  <si>
    <t xml:space="preserve">Driver </t>
  </si>
  <si>
    <t>Full Round 18</t>
  </si>
  <si>
    <t>Jul</t>
  </si>
  <si>
    <t>Pecan Hallow</t>
  </si>
  <si>
    <t>Aug</t>
  </si>
  <si>
    <t>Sep</t>
  </si>
  <si>
    <t>Bridges Gunter</t>
  </si>
  <si>
    <t>Ridgeview</t>
  </si>
  <si>
    <t>Date:</t>
  </si>
  <si>
    <t>January 2025</t>
  </si>
  <si>
    <t>Club</t>
  </si>
  <si>
    <t>Min</t>
  </si>
  <si>
    <t>Max</t>
  </si>
  <si>
    <t>Wedge 60</t>
  </si>
  <si>
    <t>Wedge 56</t>
  </si>
  <si>
    <t>Decemver 2025</t>
  </si>
  <si>
    <t>Yardage Increase</t>
  </si>
  <si>
    <t>% Increase</t>
  </si>
  <si>
    <t>Brand</t>
  </si>
  <si>
    <t>PXG</t>
  </si>
  <si>
    <t>Golden Bear</t>
  </si>
  <si>
    <t>Nike</t>
  </si>
  <si>
    <t>Callaway</t>
  </si>
  <si>
    <t>Oct</t>
  </si>
  <si>
    <t>Nov</t>
  </si>
  <si>
    <t>Average of HC</t>
  </si>
  <si>
    <t>Count of Name</t>
  </si>
  <si>
    <t>Average of Back</t>
  </si>
  <si>
    <t>Average of Front</t>
  </si>
  <si>
    <t>Mar</t>
  </si>
  <si>
    <t>All Rounds</t>
  </si>
  <si>
    <t>Full 18 Rounds</t>
  </si>
  <si>
    <t>Notes</t>
  </si>
  <si>
    <t>DNF = 10 Strokes for purposes of HC tracking</t>
  </si>
  <si>
    <t>Avg Scores</t>
  </si>
  <si>
    <t>Best Scores</t>
  </si>
  <si>
    <t>Min of TOTAL</t>
  </si>
  <si>
    <t>Gave up on back 9</t>
  </si>
  <si>
    <t xml:space="preserve">12/10 start of Gol Sim membership &amp; changing swings up. </t>
  </si>
  <si>
    <t>10 Strokes = Picked up ball after 10</t>
  </si>
  <si>
    <t>Month since last round plus swing changes. Round used as practice. Should exclude from totals</t>
  </si>
  <si>
    <t>Swing change hurt round</t>
  </si>
  <si>
    <t>Location</t>
  </si>
  <si>
    <t>Sim Type</t>
  </si>
  <si>
    <t>Indoor / Outdoor</t>
  </si>
  <si>
    <t>Trackman</t>
  </si>
  <si>
    <t>Private Fairway</t>
  </si>
  <si>
    <t>Golf Ranch</t>
  </si>
  <si>
    <t>Toptracer</t>
  </si>
  <si>
    <t>Indoor</t>
  </si>
  <si>
    <t>Outdoor</t>
  </si>
  <si>
    <t>Shot Count</t>
  </si>
  <si>
    <t>Practice Sessions &amp; shot counts</t>
  </si>
  <si>
    <t>Sum of Shot Count</t>
  </si>
  <si>
    <t>All</t>
  </si>
  <si>
    <t>Full 18</t>
  </si>
  <si>
    <t>Practice</t>
  </si>
  <si>
    <t>Play</t>
  </si>
  <si>
    <t>Type</t>
  </si>
  <si>
    <t>Date</t>
  </si>
  <si>
    <t>Driver</t>
  </si>
  <si>
    <t>Club Name</t>
  </si>
  <si>
    <t>Shot #</t>
  </si>
  <si>
    <t>Club Speed (mph)</t>
  </si>
  <si>
    <t>Attack Angle (deg)</t>
  </si>
  <si>
    <t>Ball Speed (mph)</t>
  </si>
  <si>
    <t>Spin Rate (rpm)</t>
  </si>
  <si>
    <t>Carry (yds)</t>
  </si>
  <si>
    <t>Side (ft)</t>
  </si>
  <si>
    <t>Side Dir</t>
  </si>
  <si>
    <t>Low Point (in)</t>
  </si>
  <si>
    <t>Smash</t>
  </si>
  <si>
    <t>Dr</t>
  </si>
  <si>
    <t>L</t>
  </si>
  <si>
    <t>R</t>
  </si>
  <si>
    <t>5 Iron</t>
  </si>
  <si>
    <t>7 Iron</t>
  </si>
  <si>
    <t>8 Iron</t>
  </si>
  <si>
    <t>9 Iron</t>
  </si>
  <si>
    <t>PW</t>
  </si>
  <si>
    <t>Max of Club Speed (mph)</t>
  </si>
  <si>
    <t>Max of Carry (yds)</t>
  </si>
  <si>
    <t>Max of Attack Angle (deg)</t>
  </si>
  <si>
    <t>Max of Low Point (in)</t>
  </si>
  <si>
    <t>Sheryl Park C2</t>
  </si>
  <si>
    <t>Afternoon tee time</t>
  </si>
  <si>
    <t>Morning Tee Time</t>
  </si>
  <si>
    <t>Sheryl Park C1</t>
  </si>
  <si>
    <t>Layout</t>
  </si>
  <si>
    <t>Tee</t>
  </si>
  <si>
    <t>Yardage</t>
  </si>
  <si>
    <t>Front9</t>
  </si>
  <si>
    <t>Back9</t>
  </si>
  <si>
    <t>Gross</t>
  </si>
  <si>
    <t>ToPar</t>
  </si>
  <si>
    <t>Sherrill Park Municipal</t>
  </si>
  <si>
    <t>One</t>
  </si>
  <si>
    <t>Middle</t>
  </si>
  <si>
    <t>Slow pace. Gave up</t>
  </si>
  <si>
    <t>New putter</t>
  </si>
  <si>
    <t>Buffalo Creek</t>
  </si>
  <si>
    <t>cold af</t>
  </si>
  <si>
    <t>HOLE N ONE</t>
  </si>
  <si>
    <t>cold af, slow pace</t>
  </si>
  <si>
    <t>Top 3 conditions</t>
  </si>
  <si>
    <t>7am Tee</t>
  </si>
  <si>
    <t>after work</t>
  </si>
  <si>
    <t>after work, cold af, no warmups</t>
  </si>
  <si>
    <t>Firewheel (Champion+Masters)</t>
  </si>
  <si>
    <t>First time</t>
  </si>
  <si>
    <t>Condition</t>
  </si>
  <si>
    <t>Cost</t>
  </si>
  <si>
    <t>Pace</t>
  </si>
  <si>
    <t xml:space="preserve">People </t>
  </si>
  <si>
    <t>Range</t>
  </si>
  <si>
    <t>Avg score</t>
  </si>
  <si>
    <t>location</t>
  </si>
  <si>
    <t>Ratings</t>
  </si>
  <si>
    <t>Score multplier</t>
  </si>
  <si>
    <t>Worst</t>
  </si>
  <si>
    <t>Best</t>
  </si>
  <si>
    <t>Difficulty</t>
  </si>
  <si>
    <t>Course Rating</t>
  </si>
  <si>
    <t>Slope</t>
  </si>
  <si>
    <t>Sherrill Park (Course 1)</t>
  </si>
  <si>
    <t>Sherrill Park (Course 2)</t>
  </si>
  <si>
    <t>Firewheel (Bridges)</t>
  </si>
  <si>
    <t>Ridgeview Ranch</t>
  </si>
  <si>
    <t>Pecan Hollow</t>
  </si>
  <si>
    <t>Bridges</t>
  </si>
  <si>
    <t>skipped 3 holes (darkness)</t>
  </si>
  <si>
    <t>Firewheel (Masters+Tradition)</t>
  </si>
  <si>
    <t>Firewheel (Masters)</t>
  </si>
  <si>
    <t>NA</t>
  </si>
  <si>
    <t>Firewheel (Tradition)</t>
  </si>
  <si>
    <t>Firewheel (Champion)</t>
  </si>
  <si>
    <t>Firewheel (Champion+Tradition)</t>
  </si>
  <si>
    <t>** includes partial 9 hole rounds</t>
  </si>
  <si>
    <t>km [all]</t>
  </si>
  <si>
    <t>km [full]</t>
  </si>
  <si>
    <t>** includes only full 18 hole completed rounds. Excludes partial round data</t>
  </si>
  <si>
    <t>Twin Creeks</t>
  </si>
  <si>
    <t>sick/gave up scoring</t>
  </si>
  <si>
    <t>Firewheel (Lakes)</t>
  </si>
  <si>
    <t>temp</t>
  </si>
  <si>
    <t>test 123</t>
  </si>
  <si>
    <t xml:space="preserve">Add a tee time column </t>
  </si>
  <si>
    <t>date</t>
  </si>
  <si>
    <t>time</t>
  </si>
  <si>
    <t>comments</t>
  </si>
  <si>
    <t>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</si>
</sst>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#,##0.0"/>
  </numFmts>
  <fonts count="11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"/>
      <family val="2"/>
    </font>
    <font>
      <sz val="11"/>
      <name val="Aptos"/>
      <family val="2"/>
    </font>
    <font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92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1" fontId="0" fillId="0" borderId="7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pivotButton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7" fontId="0" fillId="0" borderId="0" xfId="0" applyNumberFormat="1"/>
    <xf numFmtId="49" fontId="0" fillId="0" borderId="0" xfId="0" applyNumberFormat="1"/>
    <xf numFmtId="10" fontId="0" fillId="0" borderId="0" xfId="0" applyNumberFormat="1" applyAlignment="1">
      <alignment horizontal="center"/>
    </xf>
    <xf numFmtId="1" fontId="0" fillId="0" borderId="0" xfId="0" applyNumberFormat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0" xfId="0" pivotButton="1" applyNumberFormat="1"/>
    <xf numFmtId="3" fontId="0" fillId="0" borderId="0" xfId="0" applyNumberFormat="1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2" fillId="0" borderId="16" xfId="0" applyFont="1" applyBorder="1" applyAlignment="1">
      <alignment horizontal="center"/>
    </xf>
    <xf numFmtId="14" fontId="0" fillId="0" borderId="2" xfId="0" applyNumberFormat="1" applyBorder="1"/>
    <xf numFmtId="14" fontId="0" fillId="0" borderId="6" xfId="0" applyNumberFormat="1" applyBorder="1"/>
    <xf numFmtId="0" fontId="7" fillId="0" borderId="17" xfId="0" applyFont="1" applyBorder="1" applyAlignment="1">
      <alignment horizontal="left" vertical="center"/>
    </xf>
    <xf numFmtId="1" fontId="7" fillId="0" borderId="17" xfId="0" applyNumberFormat="1" applyFont="1" applyBorder="1" applyAlignment="1">
      <alignment horizontal="right" vertical="center"/>
    </xf>
    <xf numFmtId="165" fontId="7" fillId="0" borderId="17" xfId="0" applyNumberFormat="1" applyFont="1" applyBorder="1" applyAlignment="1">
      <alignment horizontal="right" vertical="center"/>
    </xf>
    <xf numFmtId="164" fontId="7" fillId="0" borderId="18" xfId="0" applyNumberFormat="1" applyFont="1" applyBorder="1" applyAlignment="1">
      <alignment horizontal="right" vertical="center"/>
    </xf>
    <xf numFmtId="2" fontId="7" fillId="0" borderId="19" xfId="0" applyNumberFormat="1" applyFont="1" applyBorder="1" applyAlignment="1">
      <alignment horizontal="right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4" fontId="7" fillId="0" borderId="23" xfId="0" applyNumberFormat="1" applyFont="1" applyBorder="1" applyAlignment="1">
      <alignment horizontal="right" vertical="center"/>
    </xf>
    <xf numFmtId="0" fontId="7" fillId="0" borderId="24" xfId="0" applyFont="1" applyBorder="1" applyAlignment="1">
      <alignment horizontal="left" vertical="center"/>
    </xf>
    <xf numFmtId="1" fontId="7" fillId="0" borderId="24" xfId="0" applyNumberFormat="1" applyFont="1" applyBorder="1" applyAlignment="1">
      <alignment horizontal="right" vertical="center"/>
    </xf>
    <xf numFmtId="165" fontId="7" fillId="0" borderId="24" xfId="0" applyNumberFormat="1" applyFont="1" applyBorder="1" applyAlignment="1">
      <alignment horizontal="right" vertical="center"/>
    </xf>
    <xf numFmtId="2" fontId="7" fillId="0" borderId="25" xfId="0" applyNumberFormat="1" applyFont="1" applyBorder="1" applyAlignment="1">
      <alignment horizontal="right" vertical="center"/>
    </xf>
    <xf numFmtId="1" fontId="0" fillId="0" borderId="0" xfId="0" applyNumberFormat="1" applyAlignment="1">
      <alignment horizontal="left"/>
    </xf>
    <xf numFmtId="165" fontId="0" fillId="0" borderId="0" xfId="0" applyNumberFormat="1"/>
    <xf numFmtId="10" fontId="0" fillId="0" borderId="1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1" xfId="0" applyFont="1" applyBorder="1"/>
    <xf numFmtId="166" fontId="0" fillId="0" borderId="1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26" xfId="0" applyBorder="1"/>
    <xf numFmtId="0" fontId="0" fillId="4" borderId="0" xfId="0" applyFill="1"/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4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10" fillId="0" borderId="4" xfId="0" applyFont="1" applyFill="1" applyBorder="1"/>
    <xf numFmtId="18" fontId="0" fillId="0" borderId="1" xfId="0" applyNumberFormat="1" applyBorder="1"/>
    <xf numFmtId="0" fontId="8" fillId="3" borderId="1" xfId="1" applyBorder="1"/>
    <xf numFmtId="0" fontId="0" fillId="0" borderId="1" xfId="0" applyBorder="1" applyAlignment="1">
      <alignment wrapText="1"/>
    </xf>
    <xf numFmtId="1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wrapText="1"/>
    </xf>
    <xf numFmtId="2" fontId="0" fillId="0" borderId="0" xfId="0" applyNumberFormat="1"/>
  </cellXfs>
  <cellStyles count="2">
    <cellStyle name="Good" xfId="1" builtinId="26"/>
    <cellStyle name="Normal" xfId="0" builtinId="0"/>
  </cellStyles>
  <dxfs count="156">
    <dxf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99CCFF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99CCFF"/>
        </patternFill>
      </fill>
    </dxf>
    <dxf>
      <fill>
        <patternFill>
          <bgColor theme="6" tint="0.39994506668294322"/>
        </patternFill>
      </fill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3" formatCode="h:mm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yyyy\-mm\-dd"/>
      <alignment horizontal="righ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19" formatCode="m/d/yyyy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CC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Scores by Course!PivotTable1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Score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Scores by Course'!$B$3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Scores by Course'!$A$4:$A$11</c:f>
              <c:strCache>
                <c:ptCount val="7"/>
                <c:pt idx="0">
                  <c:v>Pecan Hallow</c:v>
                </c:pt>
                <c:pt idx="1">
                  <c:v>Sherrill Park C2</c:v>
                </c:pt>
                <c:pt idx="2">
                  <c:v>Sherrill Park C1</c:v>
                </c:pt>
                <c:pt idx="3">
                  <c:v>Bridges Gunter</c:v>
                </c:pt>
                <c:pt idx="4">
                  <c:v>Plantation</c:v>
                </c:pt>
                <c:pt idx="5">
                  <c:v>Tanglewood</c:v>
                </c:pt>
                <c:pt idx="6">
                  <c:v>Ridgeview</c:v>
                </c:pt>
              </c:strCache>
            </c:strRef>
          </c:cat>
          <c:val>
            <c:numRef>
              <c:f>'PIVOT - Scores by Course'!$B$4:$B$11</c:f>
              <c:numCache>
                <c:formatCode>0</c:formatCode>
                <c:ptCount val="7"/>
                <c:pt idx="0">
                  <c:v>89</c:v>
                </c:pt>
                <c:pt idx="1">
                  <c:v>90.3</c:v>
                </c:pt>
                <c:pt idx="2">
                  <c:v>90.4</c:v>
                </c:pt>
                <c:pt idx="3">
                  <c:v>91</c:v>
                </c:pt>
                <c:pt idx="4">
                  <c:v>91.5</c:v>
                </c:pt>
                <c:pt idx="5">
                  <c:v>92.25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0-4CC4-9659-5D14A6C5B0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0174271"/>
        <c:axId val="1110177631"/>
      </c:barChart>
      <c:catAx>
        <c:axId val="1110174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77631"/>
        <c:crosses val="autoZero"/>
        <c:auto val="1"/>
        <c:lblAlgn val="ctr"/>
        <c:lblOffset val="100"/>
        <c:noMultiLvlLbl val="0"/>
      </c:catAx>
      <c:valAx>
        <c:axId val="1110177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101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Scores by Course!PivotTable2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Score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Scores by Course'!$E$3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Scores by Course'!$D$4:$D$11</c:f>
              <c:strCache>
                <c:ptCount val="7"/>
                <c:pt idx="0">
                  <c:v>Sherrill Park C2</c:v>
                </c:pt>
                <c:pt idx="1">
                  <c:v>Plantation</c:v>
                </c:pt>
                <c:pt idx="2">
                  <c:v>Tanglewood</c:v>
                </c:pt>
                <c:pt idx="3">
                  <c:v>Sherrill Park C1</c:v>
                </c:pt>
                <c:pt idx="4">
                  <c:v>Pecan Hallow</c:v>
                </c:pt>
                <c:pt idx="5">
                  <c:v>Bridges Gunter</c:v>
                </c:pt>
                <c:pt idx="6">
                  <c:v>Ridgeview</c:v>
                </c:pt>
              </c:strCache>
            </c:strRef>
          </c:cat>
          <c:val>
            <c:numRef>
              <c:f>'PIVOT - Scores by Course'!$E$4:$E$11</c:f>
              <c:numCache>
                <c:formatCode>General</c:formatCode>
                <c:ptCount val="7"/>
                <c:pt idx="0">
                  <c:v>79</c:v>
                </c:pt>
                <c:pt idx="1">
                  <c:v>81</c:v>
                </c:pt>
                <c:pt idx="2">
                  <c:v>88</c:v>
                </c:pt>
                <c:pt idx="3">
                  <c:v>88</c:v>
                </c:pt>
                <c:pt idx="4">
                  <c:v>89</c:v>
                </c:pt>
                <c:pt idx="5">
                  <c:v>91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3-4AC0-BE6E-CCA739FB20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9947231"/>
        <c:axId val="1229948191"/>
      </c:barChart>
      <c:catAx>
        <c:axId val="1229947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48191"/>
        <c:crosses val="autoZero"/>
        <c:auto val="1"/>
        <c:lblAlgn val="ctr"/>
        <c:lblOffset val="100"/>
        <c:noMultiLvlLbl val="0"/>
      </c:catAx>
      <c:valAx>
        <c:axId val="12299481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299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Handicaps_MASTER.xlsx]Sheet3!PivotTable24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 Course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7"/>
                <c:pt idx="0">
                  <c:v>Ridgeview</c:v>
                </c:pt>
                <c:pt idx="1">
                  <c:v>Pecan Hallow</c:v>
                </c:pt>
                <c:pt idx="2">
                  <c:v>Bridges Gunter</c:v>
                </c:pt>
                <c:pt idx="3">
                  <c:v>Plantation</c:v>
                </c:pt>
                <c:pt idx="4">
                  <c:v>Tanglewood</c:v>
                </c:pt>
                <c:pt idx="5">
                  <c:v>Sherrill Park C1</c:v>
                </c:pt>
                <c:pt idx="6">
                  <c:v>Sherrill Park C2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B-4A46-8BE4-ECC39EFE03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34785136"/>
        <c:axId val="1634791856"/>
      </c:barChart>
      <c:catAx>
        <c:axId val="163478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91856"/>
        <c:crosses val="autoZero"/>
        <c:auto val="1"/>
        <c:lblAlgn val="ctr"/>
        <c:lblOffset val="100"/>
        <c:noMultiLvlLbl val="0"/>
      </c:catAx>
      <c:valAx>
        <c:axId val="1634791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8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Avg Scores (Full18)!PivotTable1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Scoring</a:t>
            </a:r>
          </a:p>
        </c:rich>
      </c:tx>
      <c:layout>
        <c:manualLayout>
          <c:xMode val="edge"/>
          <c:yMode val="edge"/>
          <c:x val="0.39599661238634221"/>
          <c:y val="1.6595581802274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137729112171791E-2"/>
          <c:y val="9.9824748468941404E-2"/>
          <c:w val="0.96372454177565636"/>
          <c:h val="0.75122457349081362"/>
        </c:manualLayout>
      </c:layout>
      <c:lineChart>
        <c:grouping val="stacked"/>
        <c:varyColors val="0"/>
        <c:ser>
          <c:idx val="0"/>
          <c:order val="0"/>
          <c:tx>
            <c:strRef>
              <c:f>'PIVOT - Avg Scores (Full18)'!$B$3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Avg Scores (Full18)'!$A$4:$A$12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Avg Scores (Full18)'!$B$4:$B$12</c:f>
              <c:numCache>
                <c:formatCode>#,##0</c:formatCode>
                <c:ptCount val="8"/>
                <c:pt idx="0">
                  <c:v>93</c:v>
                </c:pt>
                <c:pt idx="1">
                  <c:v>91</c:v>
                </c:pt>
                <c:pt idx="2">
                  <c:v>89.666666666666671</c:v>
                </c:pt>
                <c:pt idx="3">
                  <c:v>86.25</c:v>
                </c:pt>
                <c:pt idx="4">
                  <c:v>97.25</c:v>
                </c:pt>
                <c:pt idx="5">
                  <c:v>88.142857142857139</c:v>
                </c:pt>
                <c:pt idx="6">
                  <c:v>85</c:v>
                </c:pt>
                <c:pt idx="7">
                  <c:v>98.666666666666671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5-4622-B266-03CC37D7C3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797952"/>
        <c:axId val="1283645984"/>
      </c:lineChart>
      <c:catAx>
        <c:axId val="1337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45984"/>
        <c:crosses val="autoZero"/>
        <c:auto val="1"/>
        <c:lblAlgn val="ctr"/>
        <c:lblOffset val="100"/>
        <c:noMultiLvlLbl val="0"/>
      </c:catAx>
      <c:valAx>
        <c:axId val="1283645984"/>
        <c:scaling>
          <c:orientation val="minMax"/>
          <c:max val="130"/>
          <c:min val="75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37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Avc HC (Full18)!PivotTable2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Handicap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- Avc HC (Full18)'!$B$3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Avc HC (Full18)'!$A$4:$A$12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Avc HC (Full18)'!$B$4:$B$12</c:f>
              <c:numCache>
                <c:formatCode>0</c:formatCode>
                <c:ptCount val="8"/>
                <c:pt idx="0">
                  <c:v>21</c:v>
                </c:pt>
                <c:pt idx="1">
                  <c:v>19</c:v>
                </c:pt>
                <c:pt idx="2">
                  <c:v>17.666666666666668</c:v>
                </c:pt>
                <c:pt idx="3">
                  <c:v>15.75</c:v>
                </c:pt>
                <c:pt idx="4">
                  <c:v>26.75</c:v>
                </c:pt>
                <c:pt idx="5">
                  <c:v>17.142857142857142</c:v>
                </c:pt>
                <c:pt idx="6">
                  <c:v>15</c:v>
                </c:pt>
                <c:pt idx="7">
                  <c:v>26.666666666666668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3-4A88-B1BC-DDA75D3BA6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940928"/>
        <c:axId val="145939488"/>
      </c:lineChart>
      <c:catAx>
        <c:axId val="14594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9488"/>
        <c:crosses val="autoZero"/>
        <c:auto val="1"/>
        <c:lblAlgn val="ctr"/>
        <c:lblOffset val="100"/>
        <c:noMultiLvlLbl val="0"/>
      </c:catAx>
      <c:valAx>
        <c:axId val="145939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59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Front v Back (Full 18)!PivotTable5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</a:t>
            </a:r>
            <a:r>
              <a:rPr lang="en-US" baseline="0"/>
              <a:t> 9 vs Back 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- Front v Back (Full 18)'!$B$3</c:f>
              <c:strCache>
                <c:ptCount val="1"/>
                <c:pt idx="0">
                  <c:v>Average of Front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Front v Back (Full 18)'!$B$4:$B$12</c:f>
              <c:numCache>
                <c:formatCode>#,##0</c:formatCode>
                <c:ptCount val="8"/>
                <c:pt idx="0">
                  <c:v>47</c:v>
                </c:pt>
                <c:pt idx="1">
                  <c:v>45.2</c:v>
                </c:pt>
                <c:pt idx="2">
                  <c:v>44.666666666666664</c:v>
                </c:pt>
                <c:pt idx="3">
                  <c:v>41.25</c:v>
                </c:pt>
                <c:pt idx="4">
                  <c:v>44.25</c:v>
                </c:pt>
                <c:pt idx="5">
                  <c:v>43</c:v>
                </c:pt>
                <c:pt idx="6">
                  <c:v>41</c:v>
                </c:pt>
                <c:pt idx="7">
                  <c:v>48.333333333333336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5-47A8-8073-BB34BACB58D1}"/>
            </c:ext>
          </c:extLst>
        </c:ser>
        <c:ser>
          <c:idx val="1"/>
          <c:order val="1"/>
          <c:tx>
            <c:strRef>
              <c:f>'PIVOT - Front v Back (Full 18)'!$C$3</c:f>
              <c:strCache>
                <c:ptCount val="1"/>
                <c:pt idx="0">
                  <c:v>Average of Back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Front v Back (Full 18)'!$C$4:$C$12</c:f>
              <c:numCache>
                <c:formatCode>#,##0</c:formatCode>
                <c:ptCount val="8"/>
                <c:pt idx="0">
                  <c:v>46</c:v>
                </c:pt>
                <c:pt idx="1">
                  <c:v>45.8</c:v>
                </c:pt>
                <c:pt idx="2">
                  <c:v>45</c:v>
                </c:pt>
                <c:pt idx="3">
                  <c:v>45</c:v>
                </c:pt>
                <c:pt idx="4">
                  <c:v>53</c:v>
                </c:pt>
                <c:pt idx="5">
                  <c:v>45.142857142857146</c:v>
                </c:pt>
                <c:pt idx="6">
                  <c:v>44</c:v>
                </c:pt>
                <c:pt idx="7">
                  <c:v>50.333333333333336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5-47A8-8073-BB34BACB58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2077792"/>
        <c:axId val="1452080672"/>
      </c:lineChart>
      <c:catAx>
        <c:axId val="145207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80672"/>
        <c:crosses val="autoZero"/>
        <c:auto val="1"/>
        <c:lblAlgn val="ctr"/>
        <c:lblOffset val="100"/>
        <c:noMultiLvlLbl val="0"/>
      </c:catAx>
      <c:valAx>
        <c:axId val="1452080672"/>
        <c:scaling>
          <c:orientation val="minMax"/>
          <c:min val="35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520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Scores by Course!PivotTable1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Score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Scores by Course'!$B$3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Scores by Course'!$A$4:$A$11</c:f>
              <c:strCache>
                <c:ptCount val="7"/>
                <c:pt idx="0">
                  <c:v>Pecan Hallow</c:v>
                </c:pt>
                <c:pt idx="1">
                  <c:v>Sherrill Park C2</c:v>
                </c:pt>
                <c:pt idx="2">
                  <c:v>Sherrill Park C1</c:v>
                </c:pt>
                <c:pt idx="3">
                  <c:v>Bridges Gunter</c:v>
                </c:pt>
                <c:pt idx="4">
                  <c:v>Plantation</c:v>
                </c:pt>
                <c:pt idx="5">
                  <c:v>Tanglewood</c:v>
                </c:pt>
                <c:pt idx="6">
                  <c:v>Ridgeview</c:v>
                </c:pt>
              </c:strCache>
            </c:strRef>
          </c:cat>
          <c:val>
            <c:numRef>
              <c:f>'PIVOT - Scores by Course'!$B$4:$B$11</c:f>
              <c:numCache>
                <c:formatCode>0</c:formatCode>
                <c:ptCount val="7"/>
                <c:pt idx="0">
                  <c:v>89</c:v>
                </c:pt>
                <c:pt idx="1">
                  <c:v>90.3</c:v>
                </c:pt>
                <c:pt idx="2">
                  <c:v>90.4</c:v>
                </c:pt>
                <c:pt idx="3">
                  <c:v>91</c:v>
                </c:pt>
                <c:pt idx="4">
                  <c:v>91.5</c:v>
                </c:pt>
                <c:pt idx="5">
                  <c:v>92.25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F-4BBD-B84C-16A953857C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0174271"/>
        <c:axId val="1110177631"/>
      </c:barChart>
      <c:catAx>
        <c:axId val="1110174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77631"/>
        <c:crosses val="autoZero"/>
        <c:auto val="1"/>
        <c:lblAlgn val="ctr"/>
        <c:lblOffset val="100"/>
        <c:noMultiLvlLbl val="0"/>
      </c:catAx>
      <c:valAx>
        <c:axId val="1110177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101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Scores by Course!PivotTable2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Score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Scores by Course'!$E$3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Scores by Course'!$D$4:$D$11</c:f>
              <c:strCache>
                <c:ptCount val="7"/>
                <c:pt idx="0">
                  <c:v>Sherrill Park C2</c:v>
                </c:pt>
                <c:pt idx="1">
                  <c:v>Plantation</c:v>
                </c:pt>
                <c:pt idx="2">
                  <c:v>Tanglewood</c:v>
                </c:pt>
                <c:pt idx="3">
                  <c:v>Sherrill Park C1</c:v>
                </c:pt>
                <c:pt idx="4">
                  <c:v>Pecan Hallow</c:v>
                </c:pt>
                <c:pt idx="5">
                  <c:v>Bridges Gunter</c:v>
                </c:pt>
                <c:pt idx="6">
                  <c:v>Ridgeview</c:v>
                </c:pt>
              </c:strCache>
            </c:strRef>
          </c:cat>
          <c:val>
            <c:numRef>
              <c:f>'PIVOT - Scores by Course'!$E$4:$E$11</c:f>
              <c:numCache>
                <c:formatCode>General</c:formatCode>
                <c:ptCount val="7"/>
                <c:pt idx="0">
                  <c:v>79</c:v>
                </c:pt>
                <c:pt idx="1">
                  <c:v>81</c:v>
                </c:pt>
                <c:pt idx="2">
                  <c:v>88</c:v>
                </c:pt>
                <c:pt idx="3">
                  <c:v>88</c:v>
                </c:pt>
                <c:pt idx="4">
                  <c:v>89</c:v>
                </c:pt>
                <c:pt idx="5">
                  <c:v>91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C-44F5-A369-5D6ACB022A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9947231"/>
        <c:axId val="1229948191"/>
      </c:barChart>
      <c:catAx>
        <c:axId val="1229947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48191"/>
        <c:crosses val="autoZero"/>
        <c:auto val="1"/>
        <c:lblAlgn val="ctr"/>
        <c:lblOffset val="100"/>
        <c:noMultiLvlLbl val="0"/>
      </c:catAx>
      <c:valAx>
        <c:axId val="12299481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299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Front v Back (Full 18)!PivotTable5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9 vs Back 9 (Full</a:t>
            </a:r>
            <a:r>
              <a:rPr lang="en-US" baseline="0"/>
              <a:t> 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- Front v Back (Full 18)'!$B$3</c:f>
              <c:strCache>
                <c:ptCount val="1"/>
                <c:pt idx="0">
                  <c:v>Average of Front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Front v Back (Full 18)'!$B$4:$B$12</c:f>
              <c:numCache>
                <c:formatCode>#,##0</c:formatCode>
                <c:ptCount val="8"/>
                <c:pt idx="0">
                  <c:v>47</c:v>
                </c:pt>
                <c:pt idx="1">
                  <c:v>45.2</c:v>
                </c:pt>
                <c:pt idx="2">
                  <c:v>44.666666666666664</c:v>
                </c:pt>
                <c:pt idx="3">
                  <c:v>41.25</c:v>
                </c:pt>
                <c:pt idx="4">
                  <c:v>44.25</c:v>
                </c:pt>
                <c:pt idx="5">
                  <c:v>43</c:v>
                </c:pt>
                <c:pt idx="6">
                  <c:v>41</c:v>
                </c:pt>
                <c:pt idx="7">
                  <c:v>48.333333333333336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E5-4D5D-BCA8-87118873D793}"/>
            </c:ext>
          </c:extLst>
        </c:ser>
        <c:ser>
          <c:idx val="1"/>
          <c:order val="1"/>
          <c:tx>
            <c:strRef>
              <c:f>'PIVOT - Front v Back (Full 18)'!$C$3</c:f>
              <c:strCache>
                <c:ptCount val="1"/>
                <c:pt idx="0">
                  <c:v>Average of Back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</c:strCache>
            </c:strRef>
          </c:cat>
          <c:val>
            <c:numRef>
              <c:f>'PIVOT - Front v Back (Full 18)'!$C$4:$C$12</c:f>
              <c:numCache>
                <c:formatCode>#,##0</c:formatCode>
                <c:ptCount val="8"/>
                <c:pt idx="0">
                  <c:v>46</c:v>
                </c:pt>
                <c:pt idx="1">
                  <c:v>45.8</c:v>
                </c:pt>
                <c:pt idx="2">
                  <c:v>45</c:v>
                </c:pt>
                <c:pt idx="3">
                  <c:v>45</c:v>
                </c:pt>
                <c:pt idx="4">
                  <c:v>53</c:v>
                </c:pt>
                <c:pt idx="5">
                  <c:v>45.142857142857146</c:v>
                </c:pt>
                <c:pt idx="6">
                  <c:v>44</c:v>
                </c:pt>
                <c:pt idx="7">
                  <c:v>50.333333333333336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E5-4D5D-BCA8-87118873D7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2077792"/>
        <c:axId val="1452080672"/>
      </c:lineChart>
      <c:catAx>
        <c:axId val="1452077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80672"/>
        <c:crosses val="autoZero"/>
        <c:auto val="1"/>
        <c:lblAlgn val="ctr"/>
        <c:lblOffset val="100"/>
        <c:noMultiLvlLbl val="0"/>
      </c:catAx>
      <c:valAx>
        <c:axId val="1452080672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[Tracker_Golf Handicaps_MASTER.xlsx]PIVOT - Front v Back (Full 18)!PivotTable6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9 vs</a:t>
            </a:r>
            <a:r>
              <a:rPr lang="en-US" baseline="0"/>
              <a:t> Back 9 (All Rounds)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- Front v Back (Full 18)'!$G$3</c:f>
              <c:strCache>
                <c:ptCount val="1"/>
                <c:pt idx="0">
                  <c:v>Average of Front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18)'!$F$4:$F$13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</c:strCache>
            </c:strRef>
          </c:cat>
          <c:val>
            <c:numRef>
              <c:f>'PIVOT - Front v Back (Full 18)'!$G$4:$G$13</c:f>
              <c:numCache>
                <c:formatCode>#,##0</c:formatCode>
                <c:ptCount val="9"/>
                <c:pt idx="0">
                  <c:v>46</c:v>
                </c:pt>
                <c:pt idx="1">
                  <c:v>45.777777777777779</c:v>
                </c:pt>
                <c:pt idx="2">
                  <c:v>42</c:v>
                </c:pt>
                <c:pt idx="3">
                  <c:v>45.75</c:v>
                </c:pt>
                <c:pt idx="4">
                  <c:v>41.25</c:v>
                </c:pt>
                <c:pt idx="5">
                  <c:v>44.25</c:v>
                </c:pt>
                <c:pt idx="6">
                  <c:v>43</c:v>
                </c:pt>
                <c:pt idx="7">
                  <c:v>41</c:v>
                </c:pt>
                <c:pt idx="8">
                  <c:v>48.333333333333336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B-4437-BE89-406CD64515CF}"/>
            </c:ext>
          </c:extLst>
        </c:ser>
        <c:ser>
          <c:idx val="1"/>
          <c:order val="1"/>
          <c:tx>
            <c:strRef>
              <c:f>'PIVOT - Front v Back (Full 18)'!$H$3</c:f>
              <c:strCache>
                <c:ptCount val="1"/>
                <c:pt idx="0">
                  <c:v>Average of Back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Front v Back (Full 18)'!$F$4:$F$13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</c:strCache>
            </c:strRef>
          </c:cat>
          <c:val>
            <c:numRef>
              <c:f>'PIVOT - Front v Back (Full 18)'!$H$4:$H$13</c:f>
              <c:numCache>
                <c:formatCode>#,##0</c:formatCode>
                <c:ptCount val="9"/>
                <c:pt idx="0">
                  <c:v>68</c:v>
                </c:pt>
                <c:pt idx="1">
                  <c:v>65.444444444444443</c:v>
                </c:pt>
                <c:pt idx="2">
                  <c:v>90</c:v>
                </c:pt>
                <c:pt idx="3">
                  <c:v>56.25</c:v>
                </c:pt>
                <c:pt idx="4">
                  <c:v>45</c:v>
                </c:pt>
                <c:pt idx="5">
                  <c:v>53</c:v>
                </c:pt>
                <c:pt idx="6">
                  <c:v>45.142857142857146</c:v>
                </c:pt>
                <c:pt idx="7">
                  <c:v>44</c:v>
                </c:pt>
                <c:pt idx="8">
                  <c:v>50.333333333333336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B-4437-BE89-406CD64515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3536384"/>
        <c:axId val="1483541184"/>
      </c:lineChart>
      <c:catAx>
        <c:axId val="1483536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41184"/>
        <c:crosses val="autoZero"/>
        <c:auto val="1"/>
        <c:lblAlgn val="ctr"/>
        <c:lblOffset val="100"/>
        <c:noMultiLvlLbl val="0"/>
      </c:catAx>
      <c:valAx>
        <c:axId val="1483541184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152398</xdr:colOff>
      <xdr:row>14</xdr:row>
      <xdr:rowOff>80960</xdr:rowOff>
    </xdr:from>
    <xdr:to>
      <xdr:col>8</xdr:col>
      <xdr:colOff>247648</xdr:colOff>
      <xdr:row>28</xdr:row>
      <xdr:rowOff>157160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6BDEE-8B85-3C61-B993-328780263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166687</xdr:colOff>
      <xdr:row>29</xdr:row>
      <xdr:rowOff>61912</xdr:rowOff>
    </xdr:from>
    <xdr:to>
      <xdr:col>8</xdr:col>
      <xdr:colOff>261937</xdr:colOff>
      <xdr:row>43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94A9FF-2A55-466B-1311-028D66FB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46730</xdr:colOff>
      <xdr:row>50</xdr:row>
      <xdr:rowOff>150755</xdr:rowOff>
    </xdr:from>
    <xdr:to>
      <xdr:col>12</xdr:col>
      <xdr:colOff>580130</xdr:colOff>
      <xdr:row>65</xdr:row>
      <xdr:rowOff>36455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7BAC34-986F-4E32-A954-F398C6D5AA64}"/>
            </a:ext>
            <a:ext uri="{147F2762-F138-4A5C-976F-8EAC2B608ADB}">
              <a16:predDERef xmlns:a16="http://schemas.microsoft.com/office/drawing/2014/main" pred="{6C91984C-25C4-4C0C-A4CF-DDFB8BD0F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44822</xdr:colOff>
      <xdr:row>0</xdr:row>
      <xdr:rowOff>84978</xdr:rowOff>
    </xdr:from>
    <xdr:to>
      <xdr:col>12</xdr:col>
      <xdr:colOff>578222</xdr:colOff>
      <xdr:row>14</xdr:row>
      <xdr:rowOff>161178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6C2EEE-ABF7-4967-980F-C99399B65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174624</xdr:rowOff>
    </xdr:from>
    <xdr:to>
      <xdr:col>12</xdr:col>
      <xdr:colOff>533400</xdr:colOff>
      <xdr:row>30</xdr:row>
      <xdr:rowOff>60324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286245-6FDE-4F78-99E2-2EC161DF3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14977</xdr:colOff>
      <xdr:row>33</xdr:row>
      <xdr:rowOff>84231</xdr:rowOff>
    </xdr:from>
    <xdr:to>
      <xdr:col>12</xdr:col>
      <xdr:colOff>548377</xdr:colOff>
      <xdr:row>47</xdr:row>
      <xdr:rowOff>160431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C08BD6-581C-44C4-8FFF-8F420BED7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60699</xdr:colOff>
      <xdr:row>66</xdr:row>
      <xdr:rowOff>46691</xdr:rowOff>
    </xdr:from>
    <xdr:to>
      <xdr:col>12</xdr:col>
      <xdr:colOff>594099</xdr:colOff>
      <xdr:row>83</xdr:row>
      <xdr:rowOff>8591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C3516-981D-44FA-A677-ABF30F18C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59114</xdr:colOff>
      <xdr:row>83</xdr:row>
      <xdr:rowOff>122894</xdr:rowOff>
    </xdr:from>
    <xdr:to>
      <xdr:col>12</xdr:col>
      <xdr:colOff>592514</xdr:colOff>
      <xdr:row>98</xdr:row>
      <xdr:rowOff>8594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8BF8A-B083-4124-BBF7-A910DEA75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53341</xdr:colOff>
      <xdr:row>16</xdr:row>
      <xdr:rowOff>93345</xdr:rowOff>
    </xdr:from>
    <xdr:to>
      <xdr:col>7</xdr:col>
      <xdr:colOff>424816</xdr:colOff>
      <xdr:row>35</xdr:row>
      <xdr:rowOff>131445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13671C-75B0-40F8-A176-81A5B114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16</xdr:row>
      <xdr:rowOff>109536</xdr:rowOff>
    </xdr:from>
    <xdr:to>
      <xdr:col>17</xdr:col>
      <xdr:colOff>400050</xdr:colOff>
      <xdr:row>35</xdr:row>
      <xdr:rowOff>147636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C7C33A-C190-BCC3-D185-169CBAF81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Myers" refreshedDate="45987.33610659722" createdVersion="8" refreshedVersion="8" minRefreshableVersion="3" recordCount="28" xr:uid="{1236F24A-4A8A-49B1-ABF6-9F5677673FFE}">
  <cacheSource type="worksheet">
    <worksheetSource name="Table3" sheet="Course Rankings"/>
  </cacheSource>
  <cacheFields count="29">
    <cacheField name="Course" numFmtId="0">
      <sharedItems count="7">
        <s v="Plantation"/>
        <s v="Sherrill Park C1"/>
        <s v="Tanglewood"/>
        <s v="Sherrill Park C2"/>
        <s v="Pecan Hallow"/>
        <s v="Bridges Gunter"/>
        <s v="Ridgeview"/>
      </sharedItems>
    </cacheField>
    <cacheField name="DATE" numFmtId="14">
      <sharedItems containsSemiMixedTypes="0" containsNonDate="0" containsDate="1" containsString="0" minDate="2025-01-24T00:00:00" maxDate="2025-11-15T00:00:00" count="28">
        <d v="2025-01-24T00:00:00"/>
        <d v="2025-02-07T00:00:00"/>
        <d v="2025-02-23T00:00:00"/>
        <d v="2025-02-24T00:00:00"/>
        <d v="2025-02-26T00:00:00"/>
        <d v="2025-02-28T00:00:00"/>
        <d v="2025-04-07T00:00:00"/>
        <d v="2025-04-08T00:00:00"/>
        <d v="2025-04-10T00:00:00"/>
        <d v="2025-07-15T00:00:00"/>
        <d v="2025-07-21T00:00:00"/>
        <d v="2025-07-24T00:00:00"/>
        <d v="2025-07-25T00:00:00"/>
        <d v="2025-08-13T00:00:00"/>
        <d v="2025-08-19T00:00:00"/>
        <d v="2025-08-21T00:00:00"/>
        <d v="2025-08-26T00:00:00"/>
        <d v="2025-09-04T00:00:00"/>
        <d v="2025-09-05T00:00:00"/>
        <d v="2025-09-10T00:00:00"/>
        <d v="2025-09-17T00:00:00"/>
        <d v="2025-09-25T00:00:00"/>
        <d v="2025-09-28T00:00:00"/>
        <d v="2025-09-30T00:00:00"/>
        <d v="2025-10-22T00:00:00"/>
        <d v="2025-11-07T00:00:00"/>
        <d v="2025-11-08T00:00:00"/>
        <d v="2025-11-14T00:00:00"/>
      </sharedItems>
      <fieldGroup par="28"/>
    </cacheField>
    <cacheField name="Name" numFmtId="0">
      <sharedItems count="1">
        <s v="Kyle"/>
      </sharedItems>
    </cacheField>
    <cacheField name="PAR" numFmtId="0">
      <sharedItems containsSemiMixedTypes="0" containsString="0" containsNumber="1" containsInteger="1" minValue="70" maxValue="72"/>
    </cacheField>
    <cacheField name="Holes?" numFmtId="1">
      <sharedItems containsSemiMixedTypes="0" containsString="0" containsNumber="1" containsInteger="1" minValue="18" maxValue="18"/>
    </cacheField>
    <cacheField name="HC" numFmtId="1">
      <sharedItems containsSemiMixedTypes="0" containsString="0" containsNumber="1" containsInteger="1" minValue="9" maxValue="58"/>
    </cacheField>
    <cacheField name="TOTAL" numFmtId="0">
      <sharedItems containsSemiMixedTypes="0" containsString="0" containsNumber="1" containsInteger="1" minValue="79" maxValue="128"/>
    </cacheField>
    <cacheField name="Front" numFmtId="0">
      <sharedItems containsSemiMixedTypes="0" containsString="0" containsNumber="1" containsInteger="1" minValue="39" maxValue="50" count="11">
        <n v="47"/>
        <n v="48"/>
        <n v="45"/>
        <n v="44"/>
        <n v="46"/>
        <n v="41"/>
        <n v="42"/>
        <n v="39"/>
        <n v="40"/>
        <n v="49"/>
        <n v="50"/>
      </sharedItems>
    </cacheField>
    <cacheField name="Back" numFmtId="0">
      <sharedItems containsSemiMixedTypes="0" containsString="0" containsNumber="1" containsInteger="1" minValue="40" maxValue="81" count="12">
        <n v="46"/>
        <n v="43"/>
        <n v="47"/>
        <n v="49"/>
        <n v="44"/>
        <n v="45"/>
        <n v="51"/>
        <n v="42"/>
        <n v="40"/>
        <n v="81"/>
        <n v="41"/>
        <n v="50"/>
      </sharedItems>
    </cacheField>
    <cacheField name="H1" numFmtId="0">
      <sharedItems containsSemiMixedTypes="0" containsString="0" containsNumber="1" containsInteger="1" minValue="3" maxValue="6"/>
    </cacheField>
    <cacheField name="H2" numFmtId="0">
      <sharedItems containsSemiMixedTypes="0" containsString="0" containsNumber="1" containsInteger="1" minValue="4" maxValue="7"/>
    </cacheField>
    <cacheField name="H3" numFmtId="0">
      <sharedItems containsSemiMixedTypes="0" containsString="0" containsNumber="1" containsInteger="1" minValue="3" maxValue="7"/>
    </cacheField>
    <cacheField name="H4" numFmtId="0">
      <sharedItems containsSemiMixedTypes="0" containsString="0" containsNumber="1" containsInteger="1" minValue="3" maxValue="7"/>
    </cacheField>
    <cacheField name="H5" numFmtId="0">
      <sharedItems containsSemiMixedTypes="0" containsString="0" containsNumber="1" containsInteger="1" minValue="3" maxValue="10"/>
    </cacheField>
    <cacheField name="H6" numFmtId="0">
      <sharedItems containsSemiMixedTypes="0" containsString="0" containsNumber="1" containsInteger="1" minValue="3" maxValue="6"/>
    </cacheField>
    <cacheField name="H7" numFmtId="0">
      <sharedItems containsSemiMixedTypes="0" containsString="0" containsNumber="1" containsInteger="1" minValue="3" maxValue="6"/>
    </cacheField>
    <cacheField name="H8" numFmtId="0">
      <sharedItems containsSemiMixedTypes="0" containsString="0" containsNumber="1" containsInteger="1" minValue="3" maxValue="8"/>
    </cacheField>
    <cacheField name="H9" numFmtId="0">
      <sharedItems containsSemiMixedTypes="0" containsString="0" containsNumber="1" containsInteger="1" minValue="4" maxValue="7"/>
    </cacheField>
    <cacheField name="H10" numFmtId="0">
      <sharedItems containsSemiMixedTypes="0" containsString="0" containsNumber="1" containsInteger="1" minValue="4" maxValue="7"/>
    </cacheField>
    <cacheField name="H11" numFmtId="0">
      <sharedItems containsSemiMixedTypes="0" containsString="0" containsNumber="1" containsInteger="1" minValue="3" maxValue="7"/>
    </cacheField>
    <cacheField name="H12" numFmtId="0">
      <sharedItems containsSemiMixedTypes="0" containsString="0" containsNumber="1" containsInteger="1" minValue="3" maxValue="10"/>
    </cacheField>
    <cacheField name="H13" numFmtId="0">
      <sharedItems containsSemiMixedTypes="0" containsString="0" containsNumber="1" containsInteger="1" minValue="2" maxValue="10"/>
    </cacheField>
    <cacheField name="H14" numFmtId="0">
      <sharedItems containsSemiMixedTypes="0" containsString="0" containsNumber="1" containsInteger="1" minValue="3" maxValue="10"/>
    </cacheField>
    <cacheField name="H15" numFmtId="0">
      <sharedItems containsSemiMixedTypes="0" containsString="0" containsNumber="1" containsInteger="1" minValue="3" maxValue="10"/>
    </cacheField>
    <cacheField name="H16" numFmtId="0">
      <sharedItems containsSemiMixedTypes="0" containsString="0" containsNumber="1" containsInteger="1" minValue="3" maxValue="10"/>
    </cacheField>
    <cacheField name="H17" numFmtId="0">
      <sharedItems containsSemiMixedTypes="0" containsString="0" containsNumber="1" containsInteger="1" minValue="2" maxValue="10"/>
    </cacheField>
    <cacheField name="H18" numFmtId="0">
      <sharedItems containsSemiMixedTypes="0" containsString="0" containsNumber="1" containsInteger="1" minValue="4" maxValue="10"/>
    </cacheField>
    <cacheField name="Days (DATE)" numFmtId="0" databaseField="0">
      <fieldGroup base="1">
        <rangePr groupBy="days" startDate="2025-01-24T00:00:00" endDate="2025-11-15T00:00:00"/>
        <groupItems count="368">
          <s v="&lt;1/24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5/2025"/>
        </groupItems>
      </fieldGroup>
    </cacheField>
    <cacheField name="Months (DATE)" numFmtId="0" databaseField="0">
      <fieldGroup base="1">
        <rangePr groupBy="months" startDate="2025-01-24T00:00:00" endDate="2025-11-15T00:00:00"/>
        <groupItems count="14">
          <s v="&lt;1/2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Myers" refreshedDate="45987.354897916666" createdVersion="8" refreshedVersion="8" minRefreshableVersion="3" recordCount="35" xr:uid="{F62A36BA-193C-4E7B-9FB0-F707D860D6AD}">
  <cacheSource type="worksheet">
    <worksheetSource name="Table1" sheet="Course Rankings"/>
  </cacheSource>
  <cacheFields count="29">
    <cacheField name="Course" numFmtId="0">
      <sharedItems count="7">
        <s v="Sherrill Park C1"/>
        <s v="Plantation"/>
        <s v="Tanglewood"/>
        <s v="Sherrill Park C2"/>
        <s v="Pecan Hallow"/>
        <s v="Bridges Gunter"/>
        <s v="Ridgeview"/>
      </sharedItems>
    </cacheField>
    <cacheField name="DATE" numFmtId="14">
      <sharedItems containsSemiMixedTypes="0" containsNonDate="0" containsDate="1" containsString="0" minDate="2025-01-03T00:00:00" maxDate="2025-11-15T00:00:00" count="35">
        <d v="2025-01-03T00:00:00"/>
        <d v="2025-01-24T00:00:00"/>
        <d v="2025-02-04T00:00:00"/>
        <d v="2025-02-05T00:00:00"/>
        <d v="2025-02-07T00:00:00"/>
        <d v="2025-02-08T00:00:00"/>
        <d v="2025-02-15T00:00:00"/>
        <d v="2025-02-23T00:00:00"/>
        <d v="2025-02-24T00:00:00"/>
        <d v="2025-02-26T00:00:00"/>
        <d v="2025-02-28T00:00:00"/>
        <d v="2025-03-07T00:00:00"/>
        <d v="2025-04-07T00:00:00"/>
        <d v="2025-04-08T00:00:00"/>
        <d v="2025-04-10T00:00:00"/>
        <d v="2025-04-11T00:00:00"/>
        <d v="2025-07-15T00:00:00"/>
        <d v="2025-07-21T00:00:00"/>
        <d v="2025-07-24T00:00:00"/>
        <d v="2025-07-25T00:00:00"/>
        <d v="2025-08-13T00:00:00"/>
        <d v="2025-08-19T00:00:00"/>
        <d v="2025-08-21T00:00:00"/>
        <d v="2025-08-26T00:00:00"/>
        <d v="2025-09-04T00:00:00"/>
        <d v="2025-09-05T00:00:00"/>
        <d v="2025-09-10T00:00:00"/>
        <d v="2025-09-17T00:00:00"/>
        <d v="2025-09-25T00:00:00"/>
        <d v="2025-09-28T00:00:00"/>
        <d v="2025-09-30T00:00:00"/>
        <d v="2025-10-22T00:00:00"/>
        <d v="2025-11-07T00:00:00"/>
        <d v="2025-11-08T00:00:00"/>
        <d v="2025-11-14T00:00:00"/>
      </sharedItems>
      <fieldGroup par="28"/>
    </cacheField>
    <cacheField name="Name" numFmtId="0">
      <sharedItems/>
    </cacheField>
    <cacheField name="PAR" numFmtId="0">
      <sharedItems containsSemiMixedTypes="0" containsString="0" containsNumber="1" containsInteger="1" minValue="70" maxValue="72"/>
    </cacheField>
    <cacheField name="Holes?" numFmtId="1">
      <sharedItems containsSemiMixedTypes="0" containsString="0" containsNumber="1" containsInteger="1" minValue="9" maxValue="18"/>
    </cacheField>
    <cacheField name="HC" numFmtId="1">
      <sharedItems containsSemiMixedTypes="0" containsString="0" containsNumber="1" containsInteger="1" minValue="9" maxValue="68"/>
    </cacheField>
    <cacheField name="TOTAL" numFmtId="0">
      <sharedItems containsSemiMixedTypes="0" containsString="0" containsNumber="1" containsInteger="1" minValue="79" maxValue="140"/>
    </cacheField>
    <cacheField name="Front" numFmtId="0">
      <sharedItems containsSemiMixedTypes="0" containsString="0" containsNumber="1" containsInteger="1" minValue="39" maxValue="50"/>
    </cacheField>
    <cacheField name="Back" numFmtId="0">
      <sharedItems containsSemiMixedTypes="0" containsString="0" containsNumber="1" containsInteger="1" minValue="40" maxValue="90"/>
    </cacheField>
    <cacheField name="H1" numFmtId="0">
      <sharedItems containsSemiMixedTypes="0" containsString="0" containsNumber="1" containsInteger="1" minValue="3" maxValue="7"/>
    </cacheField>
    <cacheField name="H2" numFmtId="0">
      <sharedItems containsSemiMixedTypes="0" containsString="0" containsNumber="1" containsInteger="1" minValue="4" maxValue="7"/>
    </cacheField>
    <cacheField name="H3" numFmtId="0">
      <sharedItems containsSemiMixedTypes="0" containsString="0" containsNumber="1" containsInteger="1" minValue="3" maxValue="7"/>
    </cacheField>
    <cacheField name="H4" numFmtId="0">
      <sharedItems containsSemiMixedTypes="0" containsString="0" containsNumber="1" containsInteger="1" minValue="3" maxValue="7"/>
    </cacheField>
    <cacheField name="H5" numFmtId="0">
      <sharedItems containsSemiMixedTypes="0" containsString="0" containsNumber="1" containsInteger="1" minValue="3" maxValue="10"/>
    </cacheField>
    <cacheField name="H6" numFmtId="0">
      <sharedItems containsSemiMixedTypes="0" containsString="0" containsNumber="1" containsInteger="1" minValue="3" maxValue="7"/>
    </cacheField>
    <cacheField name="H7" numFmtId="0">
      <sharedItems containsSemiMixedTypes="0" containsString="0" containsNumber="1" containsInteger="1" minValue="1" maxValue="6"/>
    </cacheField>
    <cacheField name="H8" numFmtId="0">
      <sharedItems containsSemiMixedTypes="0" containsString="0" containsNumber="1" containsInteger="1" minValue="3" maxValue="8"/>
    </cacheField>
    <cacheField name="H9" numFmtId="0">
      <sharedItems containsSemiMixedTypes="0" containsString="0" containsNumber="1" containsInteger="1" minValue="4" maxValue="7"/>
    </cacheField>
    <cacheField name="H10" numFmtId="0">
      <sharedItems containsMixedTypes="1" containsNumber="1" containsInteger="1" minValue="4" maxValue="7"/>
    </cacheField>
    <cacheField name="H11" numFmtId="0">
      <sharedItems containsMixedTypes="1" containsNumber="1" containsInteger="1" minValue="3" maxValue="7"/>
    </cacheField>
    <cacheField name="H12" numFmtId="0">
      <sharedItems containsMixedTypes="1" containsNumber="1" containsInteger="1" minValue="3" maxValue="10"/>
    </cacheField>
    <cacheField name="H13" numFmtId="0">
      <sharedItems containsMixedTypes="1" containsNumber="1" containsInteger="1" minValue="2" maxValue="10"/>
    </cacheField>
    <cacheField name="H14" numFmtId="0">
      <sharedItems containsMixedTypes="1" containsNumber="1" containsInteger="1" minValue="3" maxValue="10"/>
    </cacheField>
    <cacheField name="H15" numFmtId="0">
      <sharedItems containsMixedTypes="1" containsNumber="1" containsInteger="1" minValue="3" maxValue="10"/>
    </cacheField>
    <cacheField name="H16" numFmtId="0">
      <sharedItems containsMixedTypes="1" containsNumber="1" containsInteger="1" minValue="3" maxValue="10"/>
    </cacheField>
    <cacheField name="H17" numFmtId="0">
      <sharedItems containsMixedTypes="1" containsNumber="1" containsInteger="1" minValue="2" maxValue="10"/>
    </cacheField>
    <cacheField name="H18" numFmtId="0">
      <sharedItems containsMixedTypes="1" containsNumber="1" containsInteger="1" minValue="4" maxValue="10"/>
    </cacheField>
    <cacheField name="Days (DATE)" numFmtId="0" databaseField="0">
      <fieldGroup base="1">
        <rangePr groupBy="days" startDate="2025-01-03T00:00:00" endDate="2025-11-15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5/2025"/>
        </groupItems>
      </fieldGroup>
    </cacheField>
    <cacheField name="Months (DATE)" numFmtId="0" databaseField="0">
      <fieldGroup base="1">
        <rangePr groupBy="months" startDate="2025-01-03T00:00:00" endDate="2025-11-15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Myers" refreshedDate="46006.276132870371" createdVersion="8" refreshedVersion="8" minRefreshableVersion="3" recordCount="179" xr:uid="{148783A1-72DE-43C1-A21B-9C4B64AF5FE6}">
  <cacheSource type="worksheet">
    <worksheetSource name="Table5" sheet="Course Rankings"/>
  </cacheSource>
  <cacheFields count="13">
    <cacheField name="Date" numFmtId="164">
      <sharedItems containsSemiMixedTypes="0" containsNonDate="0" containsDate="1" containsString="0" minDate="2025-12-11T00:00:00" maxDate="2025-12-12T00:00:00"/>
    </cacheField>
    <cacheField name="Club" numFmtId="0">
      <sharedItems/>
    </cacheField>
    <cacheField name="Club Name" numFmtId="0">
      <sharedItems/>
    </cacheField>
    <cacheField name="Shot #" numFmtId="1">
      <sharedItems containsSemiMixedTypes="0" containsString="0" containsNumber="1" containsInteger="1" minValue="1" maxValue="46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</sharedItems>
    </cacheField>
    <cacheField name="Club Speed (mph)" numFmtId="165">
      <sharedItems containsSemiMixedTypes="0" containsString="0" containsNumber="1" minValue="58.9" maxValue="100.2" count="136">
        <n v="98.5"/>
        <n v="84.5"/>
        <n v="89.9"/>
        <n v="88.7"/>
        <n v="96.7"/>
        <n v="93"/>
        <n v="98.6"/>
        <n v="94.7"/>
        <n v="91.9"/>
        <n v="91.3"/>
        <n v="86"/>
        <n v="96.1"/>
        <n v="87.1"/>
        <n v="91.2"/>
        <n v="88.6"/>
        <n v="97.5"/>
        <n v="89"/>
        <n v="91.4"/>
        <n v="99.6"/>
        <n v="94.6"/>
        <n v="95.4"/>
        <n v="95.8"/>
        <n v="89.8"/>
        <n v="96.2"/>
        <n v="97.4"/>
        <n v="87.5"/>
        <n v="91.7"/>
        <n v="87.3"/>
        <n v="93.9"/>
        <n v="85.8"/>
        <n v="90.7"/>
        <n v="95.3"/>
        <n v="93.6"/>
        <n v="90.6"/>
        <n v="100.2"/>
        <n v="91.1"/>
        <n v="88.5"/>
        <n v="88.9"/>
        <n v="97.8"/>
        <n v="78.099999999999994"/>
        <n v="79.099999999999994"/>
        <n v="78.5"/>
        <n v="76.7"/>
        <n v="73.2"/>
        <n v="74.2"/>
        <n v="79.8"/>
        <n v="76"/>
        <n v="82.3"/>
        <n v="81.400000000000006"/>
        <n v="83.2"/>
        <n v="82.4"/>
        <n v="81.2"/>
        <n v="80.3"/>
        <n v="77.7"/>
        <n v="62.5"/>
        <n v="76.599999999999994"/>
        <n v="80.2"/>
        <n v="73.900000000000006"/>
        <n v="79.3"/>
        <n v="70.5"/>
        <n v="76.2"/>
        <n v="71.3"/>
        <n v="64.5"/>
        <n v="78"/>
        <n v="76.3"/>
        <n v="78.8"/>
        <n v="85.3"/>
        <n v="75.099999999999994"/>
        <n v="74.8"/>
        <n v="80.400000000000006"/>
        <n v="78.900000000000006"/>
        <n v="81"/>
        <n v="65.900000000000006"/>
        <n v="75.5"/>
        <n v="70.7"/>
        <n v="74"/>
        <n v="69.900000000000006"/>
        <n v="75.900000000000006"/>
        <n v="73.7"/>
        <n v="73.8"/>
        <n v="78.599999999999994"/>
        <n v="79"/>
        <n v="67.599999999999994"/>
        <n v="77.8"/>
        <n v="73.400000000000006"/>
        <n v="70"/>
        <n v="64.099999999999994"/>
        <n v="77"/>
        <n v="76.8"/>
        <n v="74.400000000000006"/>
        <n v="76.099999999999994"/>
        <n v="62.9"/>
        <n v="72.5"/>
        <n v="78.7"/>
        <n v="77.5"/>
        <n v="75.7"/>
        <n v="63.9"/>
        <n v="77.900000000000006"/>
        <n v="82.6"/>
        <n v="74.7"/>
        <n v="72.400000000000006"/>
        <n v="79.5"/>
        <n v="76.400000000000006"/>
        <n v="69.400000000000006"/>
        <n v="78.3"/>
        <n v="70.400000000000006"/>
        <n v="79.900000000000006"/>
        <n v="74.5"/>
        <n v="72.900000000000006"/>
        <n v="75"/>
        <n v="77.2"/>
        <n v="75.2"/>
        <n v="75.3"/>
        <n v="71.099999999999994"/>
        <n v="74.099999999999994"/>
        <n v="71.8"/>
        <n v="70.900000000000006"/>
        <n v="68.900000000000006"/>
        <n v="74.599999999999994"/>
        <n v="70.8"/>
        <n v="68.7"/>
        <n v="67"/>
        <n v="68.5"/>
        <n v="69.2"/>
        <n v="66.2"/>
        <n v="58.9"/>
        <n v="62.8"/>
        <n v="78.400000000000006"/>
        <n v="72.7"/>
        <n v="78.2"/>
        <n v="76.5"/>
        <n v="64.2"/>
        <n v="73.099999999999994"/>
        <n v="79.400000000000006"/>
        <n v="79.2"/>
        <n v="71.2"/>
      </sharedItems>
    </cacheField>
    <cacheField name="Attack Angle (deg)" numFmtId="165">
      <sharedItems containsString="0" containsBlank="1" containsNumber="1" minValue="-3.6" maxValue="5.2"/>
    </cacheField>
    <cacheField name="Ball Speed (mph)" numFmtId="165">
      <sharedItems containsSemiMixedTypes="0" containsString="0" containsNumber="1" minValue="74.2" maxValue="143.80000000000001"/>
    </cacheField>
    <cacheField name="Spin Rate (rpm)" numFmtId="1">
      <sharedItems containsSemiMixedTypes="0" containsString="0" containsNumber="1" containsInteger="1" minValue="1567" maxValue="8622"/>
    </cacheField>
    <cacheField name="Carry (yds)" numFmtId="165">
      <sharedItems containsSemiMixedTypes="0" containsString="0" containsNumber="1" minValue="24.5" maxValue="230.4" count="168">
        <n v="220.1"/>
        <n v="183"/>
        <n v="177"/>
        <n v="144"/>
        <n v="116.1"/>
        <n v="96.3"/>
        <n v="222.2"/>
        <n v="175"/>
        <n v="181.3"/>
        <n v="93.6"/>
        <n v="187.6"/>
        <n v="147.80000000000001"/>
        <n v="207.1"/>
        <n v="93.4"/>
        <n v="186.5"/>
        <n v="163.4"/>
        <n v="218.5"/>
        <n v="194.2"/>
        <n v="200.5"/>
        <n v="222.9"/>
        <n v="187.7"/>
        <n v="191.3"/>
        <n v="154.80000000000001"/>
        <n v="124"/>
        <n v="230.4"/>
        <n v="222.4"/>
        <n v="143"/>
        <n v="24.5"/>
        <n v="201.7"/>
        <n v="130.9"/>
        <n v="187.8"/>
        <n v="167.3"/>
        <n v="125.1"/>
        <n v="107.5"/>
        <n v="185.3"/>
        <n v="181.9"/>
        <n v="199.3"/>
        <n v="180.5"/>
        <n v="125.7"/>
        <n v="179.4"/>
        <n v="175.4"/>
        <n v="201.3"/>
        <n v="147.19999999999999"/>
        <n v="129.69999999999999"/>
        <n v="105.6"/>
        <n v="147.4"/>
        <n v="157.80000000000001"/>
        <n v="155.30000000000001"/>
        <n v="154.1"/>
        <n v="155.69999999999999"/>
        <n v="135.1"/>
        <n v="157"/>
        <n v="153.1"/>
        <n v="165.8"/>
        <n v="167.4"/>
        <n v="166.9"/>
        <n v="156.1"/>
        <n v="142.1"/>
        <n v="159.30000000000001"/>
        <n v="156"/>
        <n v="103.7"/>
        <n v="114.7"/>
        <n v="160.69999999999999"/>
        <n v="132.19999999999999"/>
        <n v="154.6"/>
        <n v="109.5"/>
        <n v="147.5"/>
        <n v="115.9"/>
        <n v="90.6"/>
        <n v="139.9"/>
        <n v="132.30000000000001"/>
        <n v="169"/>
        <n v="152.30000000000001"/>
        <n v="151.30000000000001"/>
        <n v="175.8"/>
        <n v="156.30000000000001"/>
        <n v="143.19999999999999"/>
        <n v="129.1"/>
        <n v="148.6"/>
        <n v="163.30000000000001"/>
        <n v="162.19999999999999"/>
        <n v="155.5"/>
        <n v="120.7"/>
        <n v="134.4"/>
        <n v="82.7"/>
        <n v="113.7"/>
        <n v="141"/>
        <n v="143.4"/>
        <n v="145.19999999999999"/>
        <n v="68.5"/>
        <n v="145.4"/>
        <n v="109.6"/>
        <n v="149.6"/>
        <n v="62.6"/>
        <n v="56.7"/>
        <n v="136"/>
        <n v="150.4"/>
        <n v="146.9"/>
        <n v="103.9"/>
        <n v="104.7"/>
        <n v="51.1"/>
        <n v="149.80000000000001"/>
        <n v="147.1"/>
        <n v="123.9"/>
        <n v="86.2"/>
        <n v="122.8"/>
        <n v="160.4"/>
        <n v="157.69999999999999"/>
        <n v="138.1"/>
        <n v="125.2"/>
        <n v="153.4"/>
        <n v="137.4"/>
        <n v="149.9"/>
        <n v="100.6"/>
        <n v="136.6"/>
        <n v="71.900000000000006"/>
        <n v="128.4"/>
        <n v="157.5"/>
        <n v="131.19999999999999"/>
        <n v="125.8"/>
        <n v="131.30000000000001"/>
        <n v="122.9"/>
        <n v="144.1"/>
        <n v="151.4"/>
        <n v="144.30000000000001"/>
        <n v="152.4"/>
        <n v="132.6"/>
        <n v="139.6"/>
        <n v="134.9"/>
        <n v="148"/>
        <n v="75.5"/>
        <n v="140"/>
        <n v="95.2"/>
        <n v="126.2"/>
        <n v="131.6"/>
        <n v="135.69999999999999"/>
        <n v="128"/>
        <n v="126.6"/>
        <n v="122.1"/>
        <n v="117.7"/>
        <n v="92.8"/>
        <n v="123.7"/>
        <n v="121.8"/>
        <n v="117.1"/>
        <n v="85.8"/>
        <n v="107.4"/>
        <n v="118.7"/>
        <n v="60.8"/>
        <n v="115.7"/>
        <n v="115.2"/>
        <n v="122.3"/>
        <n v="122.6"/>
        <n v="114.2"/>
        <n v="120.6"/>
        <n v="120.2"/>
        <n v="130.1"/>
        <n v="129.9"/>
        <n v="129.19999999999999"/>
        <n v="98.9"/>
        <n v="133.5"/>
        <n v="104.8"/>
        <n v="125.5"/>
        <n v="126.1"/>
        <n v="134.1"/>
        <n v="119.7"/>
        <n v="123.3"/>
        <n v="110.1"/>
        <n v="126.8"/>
      </sharedItems>
    </cacheField>
    <cacheField name="Side (ft)" numFmtId="165">
      <sharedItems containsSemiMixedTypes="0" containsString="0" containsNumber="1" minValue="-139.1" maxValue="150.19999999999999"/>
    </cacheField>
    <cacheField name="Side Dir" numFmtId="0">
      <sharedItems/>
    </cacheField>
    <cacheField name="Low Point (in)" numFmtId="165">
      <sharedItems containsNonDate="0" containsString="0" containsBlank="1"/>
    </cacheField>
    <cacheField name="Smash" numFmtId="2">
      <sharedItems containsSemiMixedTypes="0" containsString="0" containsNumber="1" minValue="1.1119648737650933" maxValue="1.51781737193763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Myers" refreshedDate="46013.488867361113" createdVersion="8" refreshedVersion="8" minRefreshableVersion="3" recordCount="101" xr:uid="{34316999-27EB-4640-86EE-5EED8B4576A0}">
  <cacheSource type="worksheet">
    <worksheetSource name="Table4" sheet="Course Rankings"/>
  </cacheSource>
  <cacheFields count="8">
    <cacheField name="DATE" numFmtId="14">
      <sharedItems containsSemiMixedTypes="0" containsNonDate="0" containsDate="1" containsString="0" minDate="2025-01-03T00:00:00" maxDate="2025-12-21T00:00:00"/>
    </cacheField>
    <cacheField name="Sim Type" numFmtId="0">
      <sharedItems/>
    </cacheField>
    <cacheField name="Location" numFmtId="1">
      <sharedItems/>
    </cacheField>
    <cacheField name="Indoor / Outdoor" numFmtId="1">
      <sharedItems/>
    </cacheField>
    <cacheField name="Shot Count" numFmtId="0">
      <sharedItems containsSemiMixedTypes="0" containsString="0" containsNumber="1" containsInteger="1" minValue="12" maxValue="203"/>
    </cacheField>
    <cacheField name="Type" numFmtId="0">
      <sharedItems count="2">
        <s v="Play"/>
        <s v="Practice"/>
      </sharedItems>
    </cacheField>
    <cacheField name="Name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n v="72"/>
    <n v="18"/>
    <n v="21"/>
    <n v="93"/>
    <x v="0"/>
    <x v="0"/>
    <n v="6"/>
    <n v="5"/>
    <n v="5"/>
    <n v="5"/>
    <n v="5"/>
    <n v="5"/>
    <n v="5"/>
    <n v="6"/>
    <n v="5"/>
    <n v="7"/>
    <n v="6"/>
    <n v="5"/>
    <n v="3"/>
    <n v="6"/>
    <n v="6"/>
    <n v="6"/>
    <n v="2"/>
    <n v="5"/>
  </r>
  <r>
    <x v="0"/>
    <x v="1"/>
    <x v="0"/>
    <n v="72"/>
    <n v="18"/>
    <n v="22"/>
    <n v="94"/>
    <x v="1"/>
    <x v="0"/>
    <n v="6"/>
    <n v="5"/>
    <n v="5"/>
    <n v="6"/>
    <n v="4"/>
    <n v="6"/>
    <n v="5"/>
    <n v="6"/>
    <n v="5"/>
    <n v="7"/>
    <n v="5"/>
    <n v="4"/>
    <n v="4"/>
    <n v="4"/>
    <n v="8"/>
    <n v="5"/>
    <n v="4"/>
    <n v="5"/>
  </r>
  <r>
    <x v="1"/>
    <x v="2"/>
    <x v="0"/>
    <n v="72"/>
    <n v="18"/>
    <n v="16"/>
    <n v="88"/>
    <x v="2"/>
    <x v="1"/>
    <n v="5"/>
    <n v="5"/>
    <n v="4"/>
    <n v="7"/>
    <n v="6"/>
    <n v="3"/>
    <n v="5"/>
    <n v="5"/>
    <n v="5"/>
    <n v="4"/>
    <n v="6"/>
    <n v="4"/>
    <n v="3"/>
    <n v="6"/>
    <n v="4"/>
    <n v="5"/>
    <n v="5"/>
    <n v="6"/>
  </r>
  <r>
    <x v="1"/>
    <x v="3"/>
    <x v="0"/>
    <n v="72"/>
    <n v="18"/>
    <n v="19"/>
    <n v="91"/>
    <x v="3"/>
    <x v="2"/>
    <n v="5"/>
    <n v="6"/>
    <n v="5"/>
    <n v="5"/>
    <n v="5"/>
    <n v="3"/>
    <n v="6"/>
    <n v="5"/>
    <n v="4"/>
    <n v="5"/>
    <n v="7"/>
    <n v="5"/>
    <n v="4"/>
    <n v="7"/>
    <n v="3"/>
    <n v="5"/>
    <n v="5"/>
    <n v="6"/>
  </r>
  <r>
    <x v="1"/>
    <x v="4"/>
    <x v="0"/>
    <n v="72"/>
    <n v="18"/>
    <n v="22"/>
    <n v="94"/>
    <x v="2"/>
    <x v="3"/>
    <n v="6"/>
    <n v="4"/>
    <n v="4"/>
    <n v="6"/>
    <n v="7"/>
    <n v="3"/>
    <n v="5"/>
    <n v="6"/>
    <n v="4"/>
    <n v="6"/>
    <n v="6"/>
    <n v="4"/>
    <n v="4"/>
    <n v="6"/>
    <n v="4"/>
    <n v="6"/>
    <n v="7"/>
    <n v="6"/>
  </r>
  <r>
    <x v="2"/>
    <x v="5"/>
    <x v="0"/>
    <n v="72"/>
    <n v="18"/>
    <n v="16"/>
    <n v="88"/>
    <x v="3"/>
    <x v="4"/>
    <n v="5"/>
    <n v="5"/>
    <n v="7"/>
    <n v="3"/>
    <n v="5"/>
    <n v="6"/>
    <n v="3"/>
    <n v="4"/>
    <n v="6"/>
    <n v="4"/>
    <n v="5"/>
    <n v="5"/>
    <n v="4"/>
    <n v="4"/>
    <n v="5"/>
    <n v="5"/>
    <n v="5"/>
    <n v="7"/>
  </r>
  <r>
    <x v="2"/>
    <x v="6"/>
    <x v="0"/>
    <n v="72"/>
    <n v="18"/>
    <n v="19"/>
    <n v="91"/>
    <x v="4"/>
    <x v="5"/>
    <n v="5"/>
    <n v="6"/>
    <n v="6"/>
    <n v="4"/>
    <n v="4"/>
    <n v="6"/>
    <n v="4"/>
    <n v="5"/>
    <n v="6"/>
    <n v="5"/>
    <n v="7"/>
    <n v="3"/>
    <n v="4"/>
    <n v="4"/>
    <n v="5"/>
    <n v="6"/>
    <n v="5"/>
    <n v="6"/>
  </r>
  <r>
    <x v="2"/>
    <x v="7"/>
    <x v="0"/>
    <n v="72"/>
    <n v="18"/>
    <n v="17"/>
    <n v="89"/>
    <x v="3"/>
    <x v="5"/>
    <n v="5"/>
    <n v="4"/>
    <n v="7"/>
    <n v="3"/>
    <n v="6"/>
    <n v="6"/>
    <n v="3"/>
    <n v="6"/>
    <n v="4"/>
    <n v="5"/>
    <n v="6"/>
    <n v="4"/>
    <n v="5"/>
    <n v="3"/>
    <n v="5"/>
    <n v="6"/>
    <n v="4"/>
    <n v="7"/>
  </r>
  <r>
    <x v="1"/>
    <x v="8"/>
    <x v="0"/>
    <n v="72"/>
    <n v="18"/>
    <n v="17"/>
    <n v="89"/>
    <x v="3"/>
    <x v="5"/>
    <n v="6"/>
    <n v="4"/>
    <n v="3"/>
    <n v="5"/>
    <n v="7"/>
    <n v="4"/>
    <n v="6"/>
    <n v="4"/>
    <n v="5"/>
    <n v="5"/>
    <n v="6"/>
    <n v="5"/>
    <n v="3"/>
    <n v="7"/>
    <n v="4"/>
    <n v="6"/>
    <n v="5"/>
    <n v="4"/>
  </r>
  <r>
    <x v="3"/>
    <x v="9"/>
    <x v="0"/>
    <n v="70"/>
    <n v="18"/>
    <n v="18"/>
    <n v="88"/>
    <x v="5"/>
    <x v="2"/>
    <n v="5"/>
    <n v="4"/>
    <n v="5"/>
    <n v="4"/>
    <n v="6"/>
    <n v="4"/>
    <n v="5"/>
    <n v="3"/>
    <n v="5"/>
    <n v="5"/>
    <n v="5"/>
    <n v="6"/>
    <n v="6"/>
    <n v="6"/>
    <n v="6"/>
    <n v="3"/>
    <n v="5"/>
    <n v="5"/>
  </r>
  <r>
    <x v="3"/>
    <x v="10"/>
    <x v="0"/>
    <n v="70"/>
    <n v="18"/>
    <n v="23"/>
    <n v="93"/>
    <x v="6"/>
    <x v="6"/>
    <n v="5"/>
    <n v="5"/>
    <n v="5"/>
    <n v="5"/>
    <n v="6"/>
    <n v="3"/>
    <n v="5"/>
    <n v="4"/>
    <n v="4"/>
    <n v="5"/>
    <n v="7"/>
    <n v="5"/>
    <n v="6"/>
    <n v="5"/>
    <n v="6"/>
    <n v="6"/>
    <n v="6"/>
    <n v="5"/>
  </r>
  <r>
    <x v="3"/>
    <x v="11"/>
    <x v="0"/>
    <n v="70"/>
    <n v="18"/>
    <n v="13"/>
    <n v="83"/>
    <x v="5"/>
    <x v="7"/>
    <n v="6"/>
    <n v="4"/>
    <n v="4"/>
    <n v="3"/>
    <n v="5"/>
    <n v="4"/>
    <n v="5"/>
    <n v="5"/>
    <n v="5"/>
    <n v="4"/>
    <n v="4"/>
    <n v="6"/>
    <n v="4"/>
    <n v="6"/>
    <n v="6"/>
    <n v="3"/>
    <n v="4"/>
    <n v="5"/>
  </r>
  <r>
    <x v="0"/>
    <x v="12"/>
    <x v="0"/>
    <n v="72"/>
    <n v="18"/>
    <n v="9"/>
    <n v="81"/>
    <x v="5"/>
    <x v="8"/>
    <n v="3"/>
    <n v="4"/>
    <n v="5"/>
    <n v="6"/>
    <n v="4"/>
    <n v="4"/>
    <n v="5"/>
    <n v="5"/>
    <n v="5"/>
    <n v="6"/>
    <n v="4"/>
    <n v="4"/>
    <n v="4"/>
    <n v="4"/>
    <n v="5"/>
    <n v="6"/>
    <n v="3"/>
    <n v="4"/>
  </r>
  <r>
    <x v="1"/>
    <x v="13"/>
    <x v="0"/>
    <n v="72"/>
    <n v="18"/>
    <n v="18"/>
    <n v="90"/>
    <x v="2"/>
    <x v="5"/>
    <n v="6"/>
    <n v="7"/>
    <n v="6"/>
    <n v="7"/>
    <n v="4"/>
    <n v="3"/>
    <n v="4"/>
    <n v="4"/>
    <n v="4"/>
    <n v="7"/>
    <n v="6"/>
    <n v="3"/>
    <n v="3"/>
    <n v="6"/>
    <n v="4"/>
    <n v="6"/>
    <n v="6"/>
    <n v="4"/>
  </r>
  <r>
    <x v="3"/>
    <x v="14"/>
    <x v="0"/>
    <n v="70"/>
    <n v="18"/>
    <n v="14"/>
    <n v="84"/>
    <x v="7"/>
    <x v="5"/>
    <n v="5"/>
    <n v="4"/>
    <n v="5"/>
    <n v="3"/>
    <n v="6"/>
    <n v="4"/>
    <n v="4"/>
    <n v="4"/>
    <n v="4"/>
    <n v="5"/>
    <n v="4"/>
    <n v="6"/>
    <n v="4"/>
    <n v="5"/>
    <n v="6"/>
    <n v="3"/>
    <n v="7"/>
    <n v="5"/>
  </r>
  <r>
    <x v="3"/>
    <x v="15"/>
    <x v="0"/>
    <n v="70"/>
    <n v="18"/>
    <n v="58"/>
    <n v="128"/>
    <x v="0"/>
    <x v="9"/>
    <n v="6"/>
    <n v="4"/>
    <n v="5"/>
    <n v="4"/>
    <n v="5"/>
    <n v="5"/>
    <n v="6"/>
    <n v="6"/>
    <n v="6"/>
    <n v="7"/>
    <n v="4"/>
    <n v="10"/>
    <n v="10"/>
    <n v="10"/>
    <n v="10"/>
    <n v="10"/>
    <n v="10"/>
    <n v="10"/>
  </r>
  <r>
    <x v="3"/>
    <x v="16"/>
    <x v="0"/>
    <n v="70"/>
    <n v="18"/>
    <n v="17"/>
    <n v="87"/>
    <x v="4"/>
    <x v="10"/>
    <n v="5"/>
    <n v="4"/>
    <n v="6"/>
    <n v="4"/>
    <n v="10"/>
    <n v="4"/>
    <n v="4"/>
    <n v="4"/>
    <n v="5"/>
    <n v="5"/>
    <n v="4"/>
    <n v="4"/>
    <n v="6"/>
    <n v="4"/>
    <n v="6"/>
    <n v="3"/>
    <n v="4"/>
    <n v="5"/>
  </r>
  <r>
    <x v="0"/>
    <x v="17"/>
    <x v="0"/>
    <n v="72"/>
    <n v="18"/>
    <n v="16"/>
    <n v="88"/>
    <x v="3"/>
    <x v="4"/>
    <n v="6"/>
    <n v="4"/>
    <n v="4"/>
    <n v="6"/>
    <n v="5"/>
    <n v="4"/>
    <n v="4"/>
    <n v="4"/>
    <n v="7"/>
    <n v="5"/>
    <n v="4"/>
    <n v="5"/>
    <n v="5"/>
    <n v="4"/>
    <n v="5"/>
    <n v="8"/>
    <n v="3"/>
    <n v="5"/>
  </r>
  <r>
    <x v="4"/>
    <x v="18"/>
    <x v="0"/>
    <n v="71"/>
    <n v="18"/>
    <n v="18"/>
    <n v="89"/>
    <x v="8"/>
    <x v="3"/>
    <n v="4"/>
    <n v="4"/>
    <n v="6"/>
    <n v="5"/>
    <n v="4"/>
    <n v="5"/>
    <n v="4"/>
    <n v="3"/>
    <n v="5"/>
    <n v="5"/>
    <n v="3"/>
    <n v="5"/>
    <n v="4"/>
    <n v="4"/>
    <n v="7"/>
    <n v="6"/>
    <n v="8"/>
    <n v="7"/>
  </r>
  <r>
    <x v="3"/>
    <x v="19"/>
    <x v="0"/>
    <n v="70"/>
    <n v="18"/>
    <n v="17"/>
    <n v="87"/>
    <x v="5"/>
    <x v="0"/>
    <n v="4"/>
    <n v="5"/>
    <n v="5"/>
    <n v="3"/>
    <n v="7"/>
    <n v="5"/>
    <n v="4"/>
    <n v="3"/>
    <n v="5"/>
    <n v="5"/>
    <n v="5"/>
    <n v="3"/>
    <n v="6"/>
    <n v="6"/>
    <n v="6"/>
    <n v="5"/>
    <n v="5"/>
    <n v="5"/>
  </r>
  <r>
    <x v="0"/>
    <x v="20"/>
    <x v="0"/>
    <n v="72"/>
    <n v="18"/>
    <n v="22"/>
    <n v="94"/>
    <x v="1"/>
    <x v="0"/>
    <n v="6"/>
    <n v="5"/>
    <n v="5"/>
    <n v="6"/>
    <n v="4"/>
    <n v="6"/>
    <n v="5"/>
    <n v="6"/>
    <n v="5"/>
    <n v="7"/>
    <n v="5"/>
    <n v="4"/>
    <n v="4"/>
    <n v="4"/>
    <n v="8"/>
    <n v="5"/>
    <n v="4"/>
    <n v="5"/>
  </r>
  <r>
    <x v="3"/>
    <x v="21"/>
    <x v="0"/>
    <n v="70"/>
    <n v="18"/>
    <n v="9"/>
    <n v="79"/>
    <x v="7"/>
    <x v="8"/>
    <n v="4"/>
    <n v="4"/>
    <n v="4"/>
    <n v="5"/>
    <n v="5"/>
    <n v="4"/>
    <n v="4"/>
    <n v="3"/>
    <n v="6"/>
    <n v="6"/>
    <n v="6"/>
    <n v="3"/>
    <n v="4"/>
    <n v="4"/>
    <n v="5"/>
    <n v="3"/>
    <n v="5"/>
    <n v="4"/>
  </r>
  <r>
    <x v="5"/>
    <x v="22"/>
    <x v="0"/>
    <n v="72"/>
    <n v="18"/>
    <n v="19"/>
    <n v="91"/>
    <x v="0"/>
    <x v="4"/>
    <n v="6"/>
    <n v="6"/>
    <n v="6"/>
    <n v="5"/>
    <n v="6"/>
    <n v="4"/>
    <n v="5"/>
    <n v="4"/>
    <n v="5"/>
    <n v="5"/>
    <n v="4"/>
    <n v="6"/>
    <n v="6"/>
    <n v="6"/>
    <n v="3"/>
    <n v="6"/>
    <n v="4"/>
    <n v="4"/>
  </r>
  <r>
    <x v="3"/>
    <x v="23"/>
    <x v="0"/>
    <n v="70"/>
    <n v="18"/>
    <n v="19"/>
    <n v="89"/>
    <x v="6"/>
    <x v="2"/>
    <n v="4"/>
    <n v="4"/>
    <n v="7"/>
    <n v="3"/>
    <n v="5"/>
    <n v="4"/>
    <n v="6"/>
    <n v="4"/>
    <n v="5"/>
    <n v="5"/>
    <n v="6"/>
    <n v="5"/>
    <n v="6"/>
    <n v="4"/>
    <n v="5"/>
    <n v="5"/>
    <n v="5"/>
    <n v="6"/>
  </r>
  <r>
    <x v="3"/>
    <x v="24"/>
    <x v="0"/>
    <n v="70"/>
    <n v="18"/>
    <n v="15"/>
    <n v="85"/>
    <x v="5"/>
    <x v="4"/>
    <n v="5"/>
    <n v="4"/>
    <n v="5"/>
    <n v="4"/>
    <n v="5"/>
    <n v="4"/>
    <n v="4"/>
    <n v="4"/>
    <n v="6"/>
    <n v="4"/>
    <n v="4"/>
    <n v="4"/>
    <n v="6"/>
    <n v="4"/>
    <n v="8"/>
    <n v="3"/>
    <n v="4"/>
    <n v="7"/>
  </r>
  <r>
    <x v="0"/>
    <x v="25"/>
    <x v="0"/>
    <n v="72"/>
    <n v="18"/>
    <n v="27"/>
    <n v="99"/>
    <x v="9"/>
    <x v="11"/>
    <n v="5"/>
    <n v="5"/>
    <n v="6"/>
    <n v="7"/>
    <n v="3"/>
    <n v="6"/>
    <n v="6"/>
    <n v="6"/>
    <n v="5"/>
    <n v="5"/>
    <n v="6"/>
    <n v="6"/>
    <n v="2"/>
    <n v="6"/>
    <n v="9"/>
    <n v="8"/>
    <n v="3"/>
    <n v="5"/>
  </r>
  <r>
    <x v="2"/>
    <x v="26"/>
    <x v="0"/>
    <n v="72"/>
    <n v="18"/>
    <n v="29"/>
    <n v="101"/>
    <x v="10"/>
    <x v="6"/>
    <n v="5"/>
    <n v="7"/>
    <n v="7"/>
    <n v="4"/>
    <n v="4"/>
    <n v="5"/>
    <n v="6"/>
    <n v="8"/>
    <n v="4"/>
    <n v="6"/>
    <n v="4"/>
    <n v="6"/>
    <n v="6"/>
    <n v="3"/>
    <n v="5"/>
    <n v="7"/>
    <n v="7"/>
    <n v="7"/>
  </r>
  <r>
    <x v="6"/>
    <x v="27"/>
    <x v="0"/>
    <n v="72"/>
    <n v="18"/>
    <n v="24"/>
    <n v="96"/>
    <x v="4"/>
    <x v="11"/>
    <n v="6"/>
    <n v="6"/>
    <n v="4"/>
    <n v="4"/>
    <n v="4"/>
    <n v="4"/>
    <n v="6"/>
    <n v="6"/>
    <n v="6"/>
    <n v="5"/>
    <n v="6"/>
    <n v="4"/>
    <n v="6"/>
    <n v="6"/>
    <n v="6"/>
    <n v="6"/>
    <n v="5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s v="Kyle"/>
    <n v="72"/>
    <n v="9"/>
    <n v="63"/>
    <n v="135"/>
    <n v="45"/>
    <n v="90"/>
    <n v="7"/>
    <n v="5"/>
    <n v="3"/>
    <n v="6"/>
    <n v="7"/>
    <n v="3"/>
    <n v="5"/>
    <n v="3"/>
    <n v="6"/>
    <s v="DNF"/>
    <s v="DNF"/>
    <s v="DNF"/>
    <s v="DNF"/>
    <s v="DNF"/>
    <s v="DNF"/>
    <s v="DNF"/>
    <s v="DNF"/>
    <s v="DNF"/>
  </r>
  <r>
    <x v="1"/>
    <x v="1"/>
    <s v="Kyle"/>
    <n v="72"/>
    <n v="18"/>
    <n v="21"/>
    <n v="93"/>
    <n v="47"/>
    <n v="46"/>
    <n v="6"/>
    <n v="5"/>
    <n v="5"/>
    <n v="5"/>
    <n v="5"/>
    <n v="5"/>
    <n v="5"/>
    <n v="6"/>
    <n v="5"/>
    <n v="7"/>
    <n v="6"/>
    <n v="5"/>
    <n v="3"/>
    <n v="6"/>
    <n v="6"/>
    <n v="6"/>
    <n v="2"/>
    <n v="5"/>
  </r>
  <r>
    <x v="0"/>
    <x v="2"/>
    <s v="Kyle"/>
    <n v="72"/>
    <n v="9"/>
    <n v="62"/>
    <n v="134"/>
    <n v="44"/>
    <n v="90"/>
    <n v="6"/>
    <n v="5"/>
    <n v="3"/>
    <n v="5"/>
    <n v="6"/>
    <n v="4"/>
    <n v="5"/>
    <n v="5"/>
    <n v="5"/>
    <s v="DNF"/>
    <s v="DNF"/>
    <s v="DNF"/>
    <s v="DNF"/>
    <s v="DNF"/>
    <s v="DNF"/>
    <s v="DNF"/>
    <s v="DNF"/>
    <s v="DNF"/>
  </r>
  <r>
    <x v="0"/>
    <x v="3"/>
    <s v="Kyle"/>
    <n v="72"/>
    <n v="9"/>
    <n v="63"/>
    <n v="135"/>
    <n v="45"/>
    <n v="90"/>
    <n v="5"/>
    <n v="7"/>
    <n v="3"/>
    <n v="6"/>
    <n v="6"/>
    <n v="4"/>
    <n v="5"/>
    <n v="4"/>
    <n v="5"/>
    <s v="DNF"/>
    <s v="DNF"/>
    <s v="DNF"/>
    <s v="DNF"/>
    <s v="DNF"/>
    <s v="DNF"/>
    <s v="DNF"/>
    <s v="DNF"/>
    <s v="DNF"/>
  </r>
  <r>
    <x v="1"/>
    <x v="4"/>
    <s v="Kyle"/>
    <n v="72"/>
    <n v="18"/>
    <n v="22"/>
    <n v="94"/>
    <n v="48"/>
    <n v="46"/>
    <n v="6"/>
    <n v="5"/>
    <n v="5"/>
    <n v="6"/>
    <n v="4"/>
    <n v="6"/>
    <n v="5"/>
    <n v="6"/>
    <n v="5"/>
    <n v="7"/>
    <n v="5"/>
    <n v="4"/>
    <n v="4"/>
    <n v="4"/>
    <n v="8"/>
    <n v="5"/>
    <n v="4"/>
    <n v="5"/>
  </r>
  <r>
    <x v="2"/>
    <x v="5"/>
    <s v="Kyle"/>
    <n v="72"/>
    <n v="9"/>
    <n v="65"/>
    <n v="137"/>
    <n v="47"/>
    <n v="90"/>
    <n v="7"/>
    <n v="5"/>
    <n v="7"/>
    <n v="4"/>
    <n v="6"/>
    <n v="4"/>
    <n v="3"/>
    <n v="5"/>
    <n v="6"/>
    <s v="DNF"/>
    <s v="DNF"/>
    <s v="DNF"/>
    <s v="DNF"/>
    <s v="DNF"/>
    <s v="DNF"/>
    <s v="DNF"/>
    <s v="DNF"/>
    <s v="DNF"/>
  </r>
  <r>
    <x v="2"/>
    <x v="6"/>
    <s v="Kyle"/>
    <n v="72"/>
    <n v="9"/>
    <n v="68"/>
    <n v="140"/>
    <n v="50"/>
    <n v="90"/>
    <n v="6"/>
    <n v="6"/>
    <n v="5"/>
    <n v="5"/>
    <n v="5"/>
    <n v="7"/>
    <n v="5"/>
    <n v="5"/>
    <n v="6"/>
    <s v="DNF"/>
    <s v="DNF"/>
    <s v="DNF"/>
    <s v="DNF"/>
    <s v="DNF"/>
    <s v="DNF"/>
    <s v="DNF"/>
    <s v="DNF"/>
    <s v="DNF"/>
  </r>
  <r>
    <x v="0"/>
    <x v="7"/>
    <s v="Kyle"/>
    <n v="72"/>
    <n v="18"/>
    <n v="16"/>
    <n v="88"/>
    <n v="45"/>
    <n v="43"/>
    <n v="5"/>
    <n v="5"/>
    <n v="4"/>
    <n v="7"/>
    <n v="6"/>
    <n v="3"/>
    <n v="5"/>
    <n v="5"/>
    <n v="5"/>
    <n v="4"/>
    <n v="6"/>
    <n v="4"/>
    <n v="3"/>
    <n v="6"/>
    <n v="4"/>
    <n v="5"/>
    <n v="5"/>
    <n v="6"/>
  </r>
  <r>
    <x v="0"/>
    <x v="8"/>
    <s v="Kyle"/>
    <n v="72"/>
    <n v="18"/>
    <n v="19"/>
    <n v="91"/>
    <n v="44"/>
    <n v="47"/>
    <n v="5"/>
    <n v="6"/>
    <n v="5"/>
    <n v="5"/>
    <n v="5"/>
    <n v="3"/>
    <n v="6"/>
    <n v="5"/>
    <n v="4"/>
    <n v="5"/>
    <n v="7"/>
    <n v="5"/>
    <n v="4"/>
    <n v="7"/>
    <n v="3"/>
    <n v="5"/>
    <n v="5"/>
    <n v="6"/>
  </r>
  <r>
    <x v="0"/>
    <x v="9"/>
    <s v="Kyle"/>
    <n v="72"/>
    <n v="18"/>
    <n v="22"/>
    <n v="94"/>
    <n v="45"/>
    <n v="49"/>
    <n v="6"/>
    <n v="4"/>
    <n v="4"/>
    <n v="6"/>
    <n v="7"/>
    <n v="3"/>
    <n v="5"/>
    <n v="6"/>
    <n v="4"/>
    <n v="6"/>
    <n v="6"/>
    <n v="4"/>
    <n v="4"/>
    <n v="6"/>
    <n v="4"/>
    <n v="6"/>
    <n v="7"/>
    <n v="6"/>
  </r>
  <r>
    <x v="2"/>
    <x v="10"/>
    <s v="Kyle"/>
    <n v="72"/>
    <n v="18"/>
    <n v="16"/>
    <n v="88"/>
    <n v="44"/>
    <n v="44"/>
    <n v="5"/>
    <n v="5"/>
    <n v="7"/>
    <n v="3"/>
    <n v="5"/>
    <n v="6"/>
    <n v="3"/>
    <n v="4"/>
    <n v="6"/>
    <n v="4"/>
    <n v="5"/>
    <n v="5"/>
    <n v="4"/>
    <n v="4"/>
    <n v="5"/>
    <n v="5"/>
    <n v="5"/>
    <n v="7"/>
  </r>
  <r>
    <x v="2"/>
    <x v="11"/>
    <s v="Kyle"/>
    <n v="72"/>
    <n v="9"/>
    <n v="60"/>
    <n v="132"/>
    <n v="42"/>
    <n v="90"/>
    <n v="6"/>
    <n v="6"/>
    <n v="5"/>
    <n v="4"/>
    <n v="5"/>
    <n v="4"/>
    <n v="1"/>
    <n v="5"/>
    <n v="6"/>
    <s v="DNF"/>
    <s v="DNF"/>
    <s v="DNF"/>
    <s v="DNF"/>
    <s v="DNF"/>
    <s v="DNF"/>
    <s v="DNF"/>
    <s v="DNF"/>
    <s v="DNF"/>
  </r>
  <r>
    <x v="2"/>
    <x v="12"/>
    <s v="Kyle"/>
    <n v="72"/>
    <n v="18"/>
    <n v="19"/>
    <n v="91"/>
    <n v="46"/>
    <n v="45"/>
    <n v="5"/>
    <n v="6"/>
    <n v="6"/>
    <n v="4"/>
    <n v="4"/>
    <n v="6"/>
    <n v="4"/>
    <n v="5"/>
    <n v="6"/>
    <n v="5"/>
    <n v="7"/>
    <n v="3"/>
    <n v="4"/>
    <n v="4"/>
    <n v="5"/>
    <n v="6"/>
    <n v="5"/>
    <n v="6"/>
  </r>
  <r>
    <x v="2"/>
    <x v="13"/>
    <s v="Kyle"/>
    <n v="72"/>
    <n v="18"/>
    <n v="17"/>
    <n v="89"/>
    <n v="44"/>
    <n v="45"/>
    <n v="5"/>
    <n v="4"/>
    <n v="7"/>
    <n v="3"/>
    <n v="6"/>
    <n v="6"/>
    <n v="3"/>
    <n v="6"/>
    <n v="4"/>
    <n v="5"/>
    <n v="6"/>
    <n v="4"/>
    <n v="5"/>
    <n v="3"/>
    <n v="5"/>
    <n v="6"/>
    <n v="4"/>
    <n v="7"/>
  </r>
  <r>
    <x v="0"/>
    <x v="14"/>
    <s v="Kyle"/>
    <n v="72"/>
    <n v="18"/>
    <n v="17"/>
    <n v="89"/>
    <n v="44"/>
    <n v="45"/>
    <n v="6"/>
    <n v="4"/>
    <n v="3"/>
    <n v="5"/>
    <n v="7"/>
    <n v="4"/>
    <n v="6"/>
    <n v="4"/>
    <n v="5"/>
    <n v="5"/>
    <n v="6"/>
    <n v="5"/>
    <n v="3"/>
    <n v="7"/>
    <n v="4"/>
    <n v="6"/>
    <n v="5"/>
    <n v="4"/>
  </r>
  <r>
    <x v="2"/>
    <x v="15"/>
    <s v="Kyle"/>
    <n v="72"/>
    <n v="9"/>
    <n v="67"/>
    <n v="139"/>
    <n v="49"/>
    <n v="90"/>
    <n v="5"/>
    <n v="6"/>
    <n v="6"/>
    <n v="4"/>
    <n v="6"/>
    <n v="6"/>
    <n v="4"/>
    <n v="5"/>
    <n v="7"/>
    <s v="DNF"/>
    <s v="DNF"/>
    <s v="DNF"/>
    <s v="DNF"/>
    <s v="DNF"/>
    <s v="DNF"/>
    <s v="DNF"/>
    <s v="DNF"/>
    <s v="DNF"/>
  </r>
  <r>
    <x v="3"/>
    <x v="16"/>
    <s v="Kyle"/>
    <n v="70"/>
    <n v="18"/>
    <n v="18"/>
    <n v="88"/>
    <n v="41"/>
    <n v="47"/>
    <n v="5"/>
    <n v="4"/>
    <n v="5"/>
    <n v="4"/>
    <n v="6"/>
    <n v="4"/>
    <n v="5"/>
    <n v="3"/>
    <n v="5"/>
    <n v="5"/>
    <n v="5"/>
    <n v="6"/>
    <n v="6"/>
    <n v="6"/>
    <n v="6"/>
    <n v="3"/>
    <n v="5"/>
    <n v="5"/>
  </r>
  <r>
    <x v="3"/>
    <x v="17"/>
    <s v="Kyle"/>
    <n v="70"/>
    <n v="18"/>
    <n v="23"/>
    <n v="93"/>
    <n v="42"/>
    <n v="51"/>
    <n v="5"/>
    <n v="5"/>
    <n v="5"/>
    <n v="5"/>
    <n v="6"/>
    <n v="3"/>
    <n v="5"/>
    <n v="4"/>
    <n v="4"/>
    <n v="5"/>
    <n v="7"/>
    <n v="5"/>
    <n v="6"/>
    <n v="5"/>
    <n v="6"/>
    <n v="6"/>
    <n v="6"/>
    <n v="5"/>
  </r>
  <r>
    <x v="3"/>
    <x v="18"/>
    <s v="Kyle"/>
    <n v="70"/>
    <n v="18"/>
    <n v="13"/>
    <n v="83"/>
    <n v="41"/>
    <n v="42"/>
    <n v="6"/>
    <n v="4"/>
    <n v="4"/>
    <n v="3"/>
    <n v="5"/>
    <n v="4"/>
    <n v="5"/>
    <n v="5"/>
    <n v="5"/>
    <n v="4"/>
    <n v="4"/>
    <n v="6"/>
    <n v="4"/>
    <n v="6"/>
    <n v="6"/>
    <n v="3"/>
    <n v="4"/>
    <n v="5"/>
  </r>
  <r>
    <x v="1"/>
    <x v="19"/>
    <s v="Kyle"/>
    <n v="72"/>
    <n v="18"/>
    <n v="9"/>
    <n v="81"/>
    <n v="41"/>
    <n v="40"/>
    <n v="3"/>
    <n v="4"/>
    <n v="5"/>
    <n v="6"/>
    <n v="4"/>
    <n v="4"/>
    <n v="5"/>
    <n v="5"/>
    <n v="5"/>
    <n v="6"/>
    <n v="4"/>
    <n v="4"/>
    <n v="4"/>
    <n v="4"/>
    <n v="5"/>
    <n v="6"/>
    <n v="3"/>
    <n v="4"/>
  </r>
  <r>
    <x v="0"/>
    <x v="20"/>
    <s v="Kyle"/>
    <n v="72"/>
    <n v="18"/>
    <n v="18"/>
    <n v="90"/>
    <n v="45"/>
    <n v="45"/>
    <n v="6"/>
    <n v="7"/>
    <n v="6"/>
    <n v="7"/>
    <n v="4"/>
    <n v="3"/>
    <n v="4"/>
    <n v="4"/>
    <n v="4"/>
    <n v="7"/>
    <n v="6"/>
    <n v="3"/>
    <n v="3"/>
    <n v="6"/>
    <n v="4"/>
    <n v="6"/>
    <n v="6"/>
    <n v="4"/>
  </r>
  <r>
    <x v="3"/>
    <x v="21"/>
    <s v="Kyle"/>
    <n v="70"/>
    <n v="18"/>
    <n v="14"/>
    <n v="84"/>
    <n v="39"/>
    <n v="45"/>
    <n v="5"/>
    <n v="4"/>
    <n v="5"/>
    <n v="3"/>
    <n v="6"/>
    <n v="4"/>
    <n v="4"/>
    <n v="4"/>
    <n v="4"/>
    <n v="5"/>
    <n v="4"/>
    <n v="6"/>
    <n v="4"/>
    <n v="5"/>
    <n v="6"/>
    <n v="3"/>
    <n v="7"/>
    <n v="5"/>
  </r>
  <r>
    <x v="3"/>
    <x v="22"/>
    <s v="Kyle"/>
    <n v="70"/>
    <n v="18"/>
    <n v="58"/>
    <n v="128"/>
    <n v="47"/>
    <n v="81"/>
    <n v="6"/>
    <n v="4"/>
    <n v="5"/>
    <n v="4"/>
    <n v="5"/>
    <n v="5"/>
    <n v="6"/>
    <n v="6"/>
    <n v="6"/>
    <n v="7"/>
    <n v="4"/>
    <n v="10"/>
    <n v="10"/>
    <n v="10"/>
    <n v="10"/>
    <n v="10"/>
    <n v="10"/>
    <n v="10"/>
  </r>
  <r>
    <x v="3"/>
    <x v="23"/>
    <s v="Kyle"/>
    <n v="70"/>
    <n v="18"/>
    <n v="17"/>
    <n v="87"/>
    <n v="46"/>
    <n v="41"/>
    <n v="5"/>
    <n v="4"/>
    <n v="6"/>
    <n v="4"/>
    <n v="10"/>
    <n v="4"/>
    <n v="4"/>
    <n v="4"/>
    <n v="5"/>
    <n v="5"/>
    <n v="4"/>
    <n v="4"/>
    <n v="6"/>
    <n v="4"/>
    <n v="6"/>
    <n v="3"/>
    <n v="4"/>
    <n v="5"/>
  </r>
  <r>
    <x v="1"/>
    <x v="24"/>
    <s v="Kyle"/>
    <n v="72"/>
    <n v="18"/>
    <n v="16"/>
    <n v="88"/>
    <n v="44"/>
    <n v="44"/>
    <n v="6"/>
    <n v="4"/>
    <n v="4"/>
    <n v="6"/>
    <n v="5"/>
    <n v="4"/>
    <n v="4"/>
    <n v="4"/>
    <n v="7"/>
    <n v="5"/>
    <n v="4"/>
    <n v="5"/>
    <n v="5"/>
    <n v="4"/>
    <n v="5"/>
    <n v="8"/>
    <n v="3"/>
    <n v="5"/>
  </r>
  <r>
    <x v="4"/>
    <x v="25"/>
    <s v="Kyle"/>
    <n v="71"/>
    <n v="18"/>
    <n v="18"/>
    <n v="89"/>
    <n v="40"/>
    <n v="49"/>
    <n v="4"/>
    <n v="4"/>
    <n v="6"/>
    <n v="5"/>
    <n v="4"/>
    <n v="5"/>
    <n v="4"/>
    <n v="3"/>
    <n v="5"/>
    <n v="5"/>
    <n v="3"/>
    <n v="5"/>
    <n v="4"/>
    <n v="4"/>
    <n v="7"/>
    <n v="6"/>
    <n v="8"/>
    <n v="7"/>
  </r>
  <r>
    <x v="3"/>
    <x v="26"/>
    <s v="Kyle"/>
    <n v="70"/>
    <n v="18"/>
    <n v="17"/>
    <n v="87"/>
    <n v="41"/>
    <n v="46"/>
    <n v="4"/>
    <n v="5"/>
    <n v="5"/>
    <n v="3"/>
    <n v="7"/>
    <n v="5"/>
    <n v="4"/>
    <n v="3"/>
    <n v="5"/>
    <n v="5"/>
    <n v="5"/>
    <n v="3"/>
    <n v="6"/>
    <n v="6"/>
    <n v="6"/>
    <n v="5"/>
    <n v="5"/>
    <n v="5"/>
  </r>
  <r>
    <x v="1"/>
    <x v="27"/>
    <s v="Kyle"/>
    <n v="72"/>
    <n v="18"/>
    <n v="22"/>
    <n v="94"/>
    <n v="48"/>
    <n v="46"/>
    <n v="6"/>
    <n v="5"/>
    <n v="5"/>
    <n v="6"/>
    <n v="4"/>
    <n v="6"/>
    <n v="5"/>
    <n v="6"/>
    <n v="5"/>
    <n v="7"/>
    <n v="5"/>
    <n v="4"/>
    <n v="4"/>
    <n v="4"/>
    <n v="8"/>
    <n v="5"/>
    <n v="4"/>
    <n v="5"/>
  </r>
  <r>
    <x v="3"/>
    <x v="28"/>
    <s v="Kyle"/>
    <n v="70"/>
    <n v="18"/>
    <n v="9"/>
    <n v="79"/>
    <n v="39"/>
    <n v="40"/>
    <n v="4"/>
    <n v="4"/>
    <n v="4"/>
    <n v="5"/>
    <n v="5"/>
    <n v="4"/>
    <n v="4"/>
    <n v="3"/>
    <n v="6"/>
    <n v="6"/>
    <n v="6"/>
    <n v="3"/>
    <n v="4"/>
    <n v="4"/>
    <n v="5"/>
    <n v="3"/>
    <n v="5"/>
    <n v="4"/>
  </r>
  <r>
    <x v="5"/>
    <x v="29"/>
    <s v="Kyle"/>
    <n v="72"/>
    <n v="18"/>
    <n v="19"/>
    <n v="91"/>
    <n v="47"/>
    <n v="44"/>
    <n v="6"/>
    <n v="6"/>
    <n v="6"/>
    <n v="5"/>
    <n v="6"/>
    <n v="4"/>
    <n v="5"/>
    <n v="4"/>
    <n v="5"/>
    <n v="5"/>
    <n v="4"/>
    <n v="6"/>
    <n v="6"/>
    <n v="6"/>
    <n v="3"/>
    <n v="6"/>
    <n v="4"/>
    <n v="4"/>
  </r>
  <r>
    <x v="3"/>
    <x v="30"/>
    <s v="Kyle"/>
    <n v="70"/>
    <n v="18"/>
    <n v="19"/>
    <n v="89"/>
    <n v="42"/>
    <n v="47"/>
    <n v="4"/>
    <n v="4"/>
    <n v="7"/>
    <n v="3"/>
    <n v="5"/>
    <n v="4"/>
    <n v="6"/>
    <n v="4"/>
    <n v="5"/>
    <n v="5"/>
    <n v="6"/>
    <n v="5"/>
    <n v="6"/>
    <n v="4"/>
    <n v="5"/>
    <n v="5"/>
    <n v="5"/>
    <n v="6"/>
  </r>
  <r>
    <x v="3"/>
    <x v="31"/>
    <s v="Kyle"/>
    <n v="70"/>
    <n v="18"/>
    <n v="15"/>
    <n v="85"/>
    <n v="41"/>
    <n v="44"/>
    <n v="5"/>
    <n v="4"/>
    <n v="5"/>
    <n v="4"/>
    <n v="5"/>
    <n v="4"/>
    <n v="4"/>
    <n v="4"/>
    <n v="6"/>
    <n v="4"/>
    <n v="4"/>
    <n v="4"/>
    <n v="6"/>
    <n v="4"/>
    <n v="8"/>
    <n v="3"/>
    <n v="4"/>
    <n v="7"/>
  </r>
  <r>
    <x v="1"/>
    <x v="32"/>
    <s v="Kyle"/>
    <n v="72"/>
    <n v="18"/>
    <n v="27"/>
    <n v="99"/>
    <n v="49"/>
    <n v="50"/>
    <n v="5"/>
    <n v="5"/>
    <n v="6"/>
    <n v="7"/>
    <n v="3"/>
    <n v="6"/>
    <n v="6"/>
    <n v="6"/>
    <n v="5"/>
    <n v="5"/>
    <n v="6"/>
    <n v="6"/>
    <n v="2"/>
    <n v="6"/>
    <n v="9"/>
    <n v="8"/>
    <n v="3"/>
    <n v="5"/>
  </r>
  <r>
    <x v="2"/>
    <x v="33"/>
    <s v="Kyle"/>
    <n v="72"/>
    <n v="18"/>
    <n v="29"/>
    <n v="101"/>
    <n v="50"/>
    <n v="51"/>
    <n v="5"/>
    <n v="7"/>
    <n v="7"/>
    <n v="4"/>
    <n v="4"/>
    <n v="5"/>
    <n v="6"/>
    <n v="8"/>
    <n v="4"/>
    <n v="6"/>
    <n v="4"/>
    <n v="6"/>
    <n v="6"/>
    <n v="3"/>
    <n v="5"/>
    <n v="7"/>
    <n v="7"/>
    <n v="7"/>
  </r>
  <r>
    <x v="6"/>
    <x v="34"/>
    <s v="Kyle"/>
    <n v="72"/>
    <n v="18"/>
    <n v="24"/>
    <n v="96"/>
    <n v="46"/>
    <n v="50"/>
    <n v="6"/>
    <n v="6"/>
    <n v="4"/>
    <n v="4"/>
    <n v="4"/>
    <n v="4"/>
    <n v="6"/>
    <n v="6"/>
    <n v="6"/>
    <n v="5"/>
    <n v="6"/>
    <n v="4"/>
    <n v="6"/>
    <n v="6"/>
    <n v="6"/>
    <n v="6"/>
    <n v="5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d v="2025-12-11T00:00:00"/>
    <s v="Dr"/>
    <s v="Driver"/>
    <x v="0"/>
    <x v="0"/>
    <n v="2.8"/>
    <n v="136"/>
    <n v="2836"/>
    <x v="0"/>
    <n v="-107.6"/>
    <s v="L"/>
    <m/>
    <n v="1.3807106598984771"/>
  </r>
  <r>
    <d v="2025-12-11T00:00:00"/>
    <s v="Dr"/>
    <s v="Driver"/>
    <x v="1"/>
    <x v="1"/>
    <n v="2.1"/>
    <n v="119"/>
    <n v="2057"/>
    <x v="1"/>
    <n v="-58.4"/>
    <s v="L"/>
    <m/>
    <n v="1.4082840236686391"/>
  </r>
  <r>
    <d v="2025-12-11T00:00:00"/>
    <s v="Dr"/>
    <s v="Driver"/>
    <x v="2"/>
    <x v="2"/>
    <n v="-2.5"/>
    <n v="129.1"/>
    <n v="3344"/>
    <x v="2"/>
    <n v="29.9"/>
    <s v="R"/>
    <m/>
    <n v="1.4360400444938819"/>
  </r>
  <r>
    <d v="2025-12-11T00:00:00"/>
    <s v="Dr"/>
    <s v="Driver"/>
    <x v="3"/>
    <x v="3"/>
    <n v="-2.9"/>
    <n v="127"/>
    <n v="2889"/>
    <x v="3"/>
    <n v="3.4"/>
    <s v="R"/>
    <m/>
    <n v="1.431792559188275"/>
  </r>
  <r>
    <d v="2025-12-11T00:00:00"/>
    <s v="Dr"/>
    <s v="Driver"/>
    <x v="4"/>
    <x v="4"/>
    <n v="0.3"/>
    <n v="136.1"/>
    <n v="1858"/>
    <x v="4"/>
    <n v="-100.5"/>
    <s v="L"/>
    <m/>
    <n v="1.4074457083764218"/>
  </r>
  <r>
    <d v="2025-12-11T00:00:00"/>
    <s v="Dr"/>
    <s v="Driver"/>
    <x v="5"/>
    <x v="5"/>
    <n v="-0.3"/>
    <n v="131.4"/>
    <n v="1964"/>
    <x v="5"/>
    <n v="-35.4"/>
    <s v="L"/>
    <m/>
    <n v="1.4129032258064518"/>
  </r>
  <r>
    <d v="2025-12-11T00:00:00"/>
    <s v="Dr"/>
    <s v="Driver"/>
    <x v="6"/>
    <x v="6"/>
    <n v="1"/>
    <n v="141.80000000000001"/>
    <n v="3885"/>
    <x v="6"/>
    <n v="70.2"/>
    <s v="R"/>
    <m/>
    <n v="1.438133874239351"/>
  </r>
  <r>
    <d v="2025-12-11T00:00:00"/>
    <s v="Dr"/>
    <s v="Driver"/>
    <x v="7"/>
    <x v="7"/>
    <n v="5.2"/>
    <n v="139"/>
    <n v="1930"/>
    <x v="7"/>
    <n v="-126.2"/>
    <s v="L"/>
    <m/>
    <n v="1.46779303062302"/>
  </r>
  <r>
    <d v="2025-12-11T00:00:00"/>
    <s v="Dr"/>
    <s v="Driver"/>
    <x v="8"/>
    <x v="4"/>
    <n v="-1.4"/>
    <n v="136.1"/>
    <n v="1726"/>
    <x v="8"/>
    <n v="-75.900000000000006"/>
    <s v="L"/>
    <m/>
    <n v="1.4074457083764218"/>
  </r>
  <r>
    <d v="2025-12-11T00:00:00"/>
    <s v="Dr"/>
    <s v="Driver"/>
    <x v="9"/>
    <x v="8"/>
    <n v="-2.8"/>
    <n v="130.6"/>
    <n v="2572"/>
    <x v="9"/>
    <n v="-24.1"/>
    <s v="L"/>
    <m/>
    <n v="1.4211099020674645"/>
  </r>
  <r>
    <d v="2025-12-11T00:00:00"/>
    <s v="Dr"/>
    <s v="Driver"/>
    <x v="10"/>
    <x v="9"/>
    <n v="0.3"/>
    <n v="128.1"/>
    <n v="4809"/>
    <x v="10"/>
    <n v="150.19999999999999"/>
    <s v="R"/>
    <m/>
    <n v="1.4030668127053669"/>
  </r>
  <r>
    <d v="2025-12-11T00:00:00"/>
    <s v="Dr"/>
    <s v="Driver"/>
    <x v="11"/>
    <x v="10"/>
    <n v="-1.7"/>
    <n v="124.4"/>
    <n v="2320"/>
    <x v="11"/>
    <n v="-39.4"/>
    <s v="L"/>
    <m/>
    <n v="1.4465116279069767"/>
  </r>
  <r>
    <d v="2025-12-11T00:00:00"/>
    <s v="Dr"/>
    <s v="Driver"/>
    <x v="12"/>
    <x v="11"/>
    <n v="-3.6"/>
    <n v="140.4"/>
    <n v="3228"/>
    <x v="12"/>
    <n v="46.4"/>
    <s v="R"/>
    <m/>
    <n v="1.4609781477627473"/>
  </r>
  <r>
    <d v="2025-12-11T00:00:00"/>
    <s v="Dr"/>
    <s v="Driver"/>
    <x v="13"/>
    <x v="12"/>
    <n v="-0.2"/>
    <n v="130.1"/>
    <n v="1868"/>
    <x v="13"/>
    <n v="-32"/>
    <s v="L"/>
    <m/>
    <n v="1.4936854190585533"/>
  </r>
  <r>
    <d v="2025-12-11T00:00:00"/>
    <s v="Dr"/>
    <s v="Driver"/>
    <x v="14"/>
    <x v="13"/>
    <n v="0.4"/>
    <n v="128.80000000000001"/>
    <n v="2834"/>
    <x v="14"/>
    <n v="-139.1"/>
    <s v="L"/>
    <m/>
    <n v="1.4122807017543861"/>
  </r>
  <r>
    <d v="2025-12-11T00:00:00"/>
    <s v="Dr"/>
    <s v="Driver"/>
    <x v="15"/>
    <x v="14"/>
    <n v="-1"/>
    <n v="117.1"/>
    <n v="5655"/>
    <x v="15"/>
    <n v="-61.4"/>
    <s v="L"/>
    <m/>
    <n v="1.3216704288939052"/>
  </r>
  <r>
    <d v="2025-12-11T00:00:00"/>
    <s v="Dr"/>
    <s v="Driver"/>
    <x v="16"/>
    <x v="15"/>
    <n v="-3.5"/>
    <n v="143.80000000000001"/>
    <n v="3125"/>
    <x v="16"/>
    <n v="44.4"/>
    <s v="R"/>
    <m/>
    <n v="1.4748717948717951"/>
  </r>
  <r>
    <d v="2025-12-11T00:00:00"/>
    <s v="Dr"/>
    <s v="Driver"/>
    <x v="17"/>
    <x v="16"/>
    <n v="2.1"/>
    <n v="130.9"/>
    <n v="2171"/>
    <x v="17"/>
    <n v="-17.399999999999999"/>
    <s v="L"/>
    <m/>
    <n v="1.4707865168539327"/>
  </r>
  <r>
    <d v="2025-12-11T00:00:00"/>
    <s v="Dr"/>
    <s v="Driver"/>
    <x v="18"/>
    <x v="17"/>
    <n v="-1"/>
    <n v="133.30000000000001"/>
    <n v="4029"/>
    <x v="18"/>
    <n v="78.400000000000006"/>
    <s v="R"/>
    <m/>
    <n v="1.4584245076586433"/>
  </r>
  <r>
    <d v="2025-12-11T00:00:00"/>
    <s v="Dr"/>
    <s v="Driver"/>
    <x v="19"/>
    <x v="18"/>
    <n v="-0.7"/>
    <n v="138.4"/>
    <n v="2907"/>
    <x v="19"/>
    <n v="-9.1999999999999993"/>
    <s v="L"/>
    <m/>
    <n v="1.3895582329317271"/>
  </r>
  <r>
    <d v="2025-12-11T00:00:00"/>
    <s v="Dr"/>
    <s v="Driver"/>
    <x v="20"/>
    <x v="19"/>
    <n v="1.1000000000000001"/>
    <n v="141.4"/>
    <n v="2068"/>
    <x v="20"/>
    <n v="-54.5"/>
    <s v="L"/>
    <m/>
    <n v="1.4947145877378436"/>
  </r>
  <r>
    <d v="2025-12-11T00:00:00"/>
    <s v="Dr"/>
    <s v="Driver"/>
    <x v="21"/>
    <x v="20"/>
    <n v="3.4"/>
    <n v="138.30000000000001"/>
    <n v="2094"/>
    <x v="21"/>
    <n v="-37.1"/>
    <s v="L"/>
    <m/>
    <n v="1.449685534591195"/>
  </r>
  <r>
    <d v="2025-12-11T00:00:00"/>
    <s v="Dr"/>
    <s v="Driver"/>
    <x v="22"/>
    <x v="21"/>
    <n v="3"/>
    <n v="120.9"/>
    <n v="5976"/>
    <x v="22"/>
    <n v="-84.4"/>
    <s v="L"/>
    <m/>
    <n v="1.2620041753653446"/>
  </r>
  <r>
    <d v="2025-12-11T00:00:00"/>
    <s v="Dr"/>
    <s v="Driver"/>
    <x v="23"/>
    <x v="22"/>
    <n v="-0.8"/>
    <n v="136.30000000000001"/>
    <n v="1994"/>
    <x v="23"/>
    <n v="-21.1"/>
    <s v="L"/>
    <m/>
    <n v="1.5178173719376393"/>
  </r>
  <r>
    <d v="2025-12-11T00:00:00"/>
    <s v="Dr"/>
    <s v="Driver"/>
    <x v="24"/>
    <x v="23"/>
    <n v="4.4000000000000004"/>
    <n v="141.69999999999999"/>
    <n v="3210"/>
    <x v="24"/>
    <n v="70.400000000000006"/>
    <s v="R"/>
    <m/>
    <n v="1.4729729729729728"/>
  </r>
  <r>
    <d v="2025-12-11T00:00:00"/>
    <s v="Dr"/>
    <s v="Driver"/>
    <x v="25"/>
    <x v="15"/>
    <n v="1"/>
    <n v="141.19999999999999"/>
    <n v="3366"/>
    <x v="25"/>
    <n v="66.599999999999994"/>
    <s v="R"/>
    <m/>
    <n v="1.448205128205128"/>
  </r>
  <r>
    <d v="2025-12-11T00:00:00"/>
    <s v="Dr"/>
    <s v="Driver"/>
    <x v="26"/>
    <x v="24"/>
    <n v="-2.9"/>
    <n v="139.19999999999999"/>
    <n v="2807"/>
    <x v="26"/>
    <n v="53.2"/>
    <s v="R"/>
    <m/>
    <n v="1.4291581108829567"/>
  </r>
  <r>
    <d v="2025-12-11T00:00:00"/>
    <s v="Dr"/>
    <s v="Driver"/>
    <x v="27"/>
    <x v="25"/>
    <n v="-1"/>
    <n v="117.7"/>
    <n v="1567"/>
    <x v="27"/>
    <n v="-14.8"/>
    <s v="L"/>
    <m/>
    <n v="1.3451428571428572"/>
  </r>
  <r>
    <d v="2025-12-11T00:00:00"/>
    <s v="Dr"/>
    <s v="Driver"/>
    <x v="28"/>
    <x v="26"/>
    <n v="-1.1000000000000001"/>
    <n v="128.9"/>
    <n v="2769"/>
    <x v="28"/>
    <n v="-63"/>
    <s v="L"/>
    <m/>
    <n v="1.4056706652126501"/>
  </r>
  <r>
    <d v="2025-12-11T00:00:00"/>
    <s v="Dr"/>
    <s v="Driver"/>
    <x v="29"/>
    <x v="27"/>
    <n v="1.6"/>
    <n v="123.4"/>
    <n v="1759"/>
    <x v="29"/>
    <n v="-61"/>
    <s v="L"/>
    <m/>
    <n v="1.4135166093928981"/>
  </r>
  <r>
    <d v="2025-12-11T00:00:00"/>
    <s v="Dr"/>
    <s v="Driver"/>
    <x v="30"/>
    <x v="28"/>
    <n v="0.2"/>
    <n v="130.9"/>
    <n v="4070"/>
    <x v="30"/>
    <n v="92.1"/>
    <s v="R"/>
    <m/>
    <n v="1.3940362087326943"/>
  </r>
  <r>
    <d v="2025-12-11T00:00:00"/>
    <s v="Dr"/>
    <s v="Driver"/>
    <x v="31"/>
    <x v="29"/>
    <n v="0.9"/>
    <n v="126.4"/>
    <n v="2089"/>
    <x v="31"/>
    <n v="24.7"/>
    <s v="R"/>
    <m/>
    <n v="1.4731934731934733"/>
  </r>
  <r>
    <d v="2025-12-11T00:00:00"/>
    <s v="Dr"/>
    <s v="Driver"/>
    <x v="32"/>
    <x v="30"/>
    <n v="-1.2"/>
    <n v="128.19999999999999"/>
    <n v="2088"/>
    <x v="32"/>
    <n v="-98"/>
    <s v="L"/>
    <m/>
    <n v="1.4134509371554573"/>
  </r>
  <r>
    <d v="2025-12-11T00:00:00"/>
    <s v="Dr"/>
    <s v="Driver"/>
    <x v="33"/>
    <x v="31"/>
    <n v="-1"/>
    <n v="136.30000000000001"/>
    <n v="1991"/>
    <x v="33"/>
    <n v="-27.6"/>
    <s v="L"/>
    <m/>
    <n v="1.4302203567681009"/>
  </r>
  <r>
    <d v="2025-12-11T00:00:00"/>
    <s v="Dr"/>
    <s v="Driver"/>
    <x v="34"/>
    <x v="32"/>
    <n v="-3.2"/>
    <n v="126.5"/>
    <n v="4013"/>
    <x v="34"/>
    <n v="47.3"/>
    <s v="R"/>
    <m/>
    <n v="1.3514957264957266"/>
  </r>
  <r>
    <d v="2025-12-11T00:00:00"/>
    <s v="Dr"/>
    <s v="Driver"/>
    <x v="35"/>
    <x v="33"/>
    <n v="-3.4"/>
    <n v="123.4"/>
    <n v="2902"/>
    <x v="35"/>
    <n v="-75.7"/>
    <s v="L"/>
    <m/>
    <n v="1.3620309050772628"/>
  </r>
  <r>
    <d v="2025-12-11T00:00:00"/>
    <s v="Dr"/>
    <s v="Driver"/>
    <x v="36"/>
    <x v="34"/>
    <n v="2.2999999999999998"/>
    <n v="140.19999999999999"/>
    <n v="3186"/>
    <x v="36"/>
    <n v="37.9"/>
    <s v="R"/>
    <m/>
    <n v="1.3992015968063871"/>
  </r>
  <r>
    <d v="2025-12-11T00:00:00"/>
    <s v="Dr"/>
    <s v="Driver"/>
    <x v="37"/>
    <x v="1"/>
    <n v="-0.4"/>
    <n v="124.7"/>
    <n v="3008"/>
    <x v="37"/>
    <n v="47.6"/>
    <s v="R"/>
    <m/>
    <n v="1.4757396449704143"/>
  </r>
  <r>
    <d v="2025-12-11T00:00:00"/>
    <s v="Dr"/>
    <s v="Driver"/>
    <x v="38"/>
    <x v="35"/>
    <n v="-0.4"/>
    <n v="101.3"/>
    <n v="5494"/>
    <x v="38"/>
    <n v="-33.799999999999997"/>
    <s v="L"/>
    <m/>
    <n v="1.1119648737650933"/>
  </r>
  <r>
    <d v="2025-12-11T00:00:00"/>
    <s v="Dr"/>
    <s v="Driver"/>
    <x v="39"/>
    <x v="36"/>
    <n v="-1.6"/>
    <n v="128.4"/>
    <n v="3052"/>
    <x v="39"/>
    <n v="60.8"/>
    <s v="R"/>
    <m/>
    <n v="1.4508474576271186"/>
  </r>
  <r>
    <d v="2025-12-11T00:00:00"/>
    <s v="Dr"/>
    <s v="Driver"/>
    <x v="40"/>
    <x v="37"/>
    <n v="-0.5"/>
    <n v="132.19999999999999"/>
    <n v="2097"/>
    <x v="40"/>
    <n v="0.1"/>
    <s v="R"/>
    <m/>
    <n v="1.4870641169853767"/>
  </r>
  <r>
    <d v="2025-12-11T00:00:00"/>
    <s v="Dr"/>
    <s v="Driver"/>
    <x v="41"/>
    <x v="38"/>
    <n v="-2.7"/>
    <n v="132.9"/>
    <n v="4222"/>
    <x v="41"/>
    <n v="80.599999999999994"/>
    <s v="R"/>
    <m/>
    <n v="1.3588957055214725"/>
  </r>
  <r>
    <d v="2025-12-11T00:00:00"/>
    <s v="5i"/>
    <s v="5 Iron"/>
    <x v="0"/>
    <x v="39"/>
    <m/>
    <n v="109.8"/>
    <n v="3638"/>
    <x v="42"/>
    <n v="-6.9"/>
    <s v="L"/>
    <m/>
    <n v="1.4058898847631243"/>
  </r>
  <r>
    <d v="2025-12-11T00:00:00"/>
    <s v="5i"/>
    <s v="5 Iron"/>
    <x v="1"/>
    <x v="40"/>
    <m/>
    <n v="108.8"/>
    <n v="3626"/>
    <x v="43"/>
    <n v="10.1"/>
    <s v="R"/>
    <m/>
    <n v="1.3754740834386854"/>
  </r>
  <r>
    <d v="2025-12-11T00:00:00"/>
    <s v="5i"/>
    <s v="5 Iron"/>
    <x v="2"/>
    <x v="40"/>
    <m/>
    <n v="96.3"/>
    <n v="2611"/>
    <x v="44"/>
    <n v="-22"/>
    <s v="L"/>
    <m/>
    <n v="1.2174462705436158"/>
  </r>
  <r>
    <d v="2025-12-11T00:00:00"/>
    <s v="5i"/>
    <s v="5 Iron"/>
    <x v="3"/>
    <x v="41"/>
    <m/>
    <n v="105.6"/>
    <n v="3817"/>
    <x v="45"/>
    <n v="15.7"/>
    <s v="R"/>
    <m/>
    <n v="1.3452229299363057"/>
  </r>
  <r>
    <d v="2025-12-11T00:00:00"/>
    <s v="5i"/>
    <s v="5 Iron"/>
    <x v="4"/>
    <x v="42"/>
    <m/>
    <n v="109.5"/>
    <n v="3517"/>
    <x v="46"/>
    <n v="32.799999999999997"/>
    <s v="R"/>
    <m/>
    <n v="1.4276401564537158"/>
  </r>
  <r>
    <d v="2025-12-11T00:00:00"/>
    <s v="5i"/>
    <s v="5 Iron"/>
    <x v="5"/>
    <x v="43"/>
    <m/>
    <n v="109.5"/>
    <n v="3212"/>
    <x v="47"/>
    <n v="-2.5"/>
    <s v="L"/>
    <m/>
    <n v="1.4959016393442623"/>
  </r>
  <r>
    <d v="2025-12-11T00:00:00"/>
    <s v="5i"/>
    <s v="5 Iron"/>
    <x v="6"/>
    <x v="44"/>
    <m/>
    <n v="111.5"/>
    <n v="3533"/>
    <x v="48"/>
    <n v="13.1"/>
    <s v="R"/>
    <m/>
    <n v="1.5026954177897573"/>
  </r>
  <r>
    <d v="2025-12-11T00:00:00"/>
    <s v="5i"/>
    <s v="5 Iron"/>
    <x v="7"/>
    <x v="45"/>
    <m/>
    <n v="115.9"/>
    <n v="3548"/>
    <x v="49"/>
    <n v="-11.7"/>
    <s v="L"/>
    <m/>
    <n v="1.4523809523809526"/>
  </r>
  <r>
    <d v="2025-12-11T00:00:00"/>
    <s v="5i"/>
    <s v="5 Iron"/>
    <x v="8"/>
    <x v="46"/>
    <m/>
    <n v="102.8"/>
    <n v="4139"/>
    <x v="50"/>
    <n v="77.5"/>
    <s v="R"/>
    <m/>
    <n v="1.3526315789473684"/>
  </r>
  <r>
    <d v="2025-12-11T00:00:00"/>
    <s v="5i"/>
    <s v="5 Iron"/>
    <x v="9"/>
    <x v="47"/>
    <m/>
    <n v="112"/>
    <n v="4582"/>
    <x v="51"/>
    <n v="48.4"/>
    <s v="R"/>
    <m/>
    <n v="1.3608748481166464"/>
  </r>
  <r>
    <d v="2025-12-11T00:00:00"/>
    <s v="5i"/>
    <s v="5 Iron"/>
    <x v="10"/>
    <x v="48"/>
    <m/>
    <n v="114.3"/>
    <n v="3534"/>
    <x v="52"/>
    <n v="-23.8"/>
    <s v="L"/>
    <m/>
    <n v="1.4041769041769041"/>
  </r>
  <r>
    <d v="2025-12-11T00:00:00"/>
    <s v="5i"/>
    <s v="5 Iron"/>
    <x v="11"/>
    <x v="49"/>
    <m/>
    <n v="120.8"/>
    <n v="3706"/>
    <x v="53"/>
    <n v="-72.099999999999994"/>
    <s v="L"/>
    <m/>
    <n v="1.4519230769230769"/>
  </r>
  <r>
    <d v="2025-12-11T00:00:00"/>
    <s v="5i"/>
    <s v="5 Iron"/>
    <x v="12"/>
    <x v="50"/>
    <m/>
    <n v="117.9"/>
    <n v="3759"/>
    <x v="54"/>
    <n v="-12"/>
    <s v="L"/>
    <m/>
    <n v="1.4308252427184465"/>
  </r>
  <r>
    <d v="2025-12-11T00:00:00"/>
    <s v="5i"/>
    <s v="5 Iron"/>
    <x v="13"/>
    <x v="51"/>
    <m/>
    <n v="118.7"/>
    <n v="3959"/>
    <x v="55"/>
    <n v="-53.6"/>
    <s v="L"/>
    <m/>
    <n v="1.4618226600985222"/>
  </r>
  <r>
    <d v="2025-12-11T00:00:00"/>
    <s v="5i"/>
    <s v="5 Iron"/>
    <x v="14"/>
    <x v="42"/>
    <m/>
    <n v="110.3"/>
    <n v="3648"/>
    <x v="56"/>
    <n v="10"/>
    <s v="R"/>
    <m/>
    <n v="1.4380704041720991"/>
  </r>
  <r>
    <d v="2025-12-11T00:00:00"/>
    <s v="5i"/>
    <s v="5 Iron"/>
    <x v="15"/>
    <x v="39"/>
    <m/>
    <n v="103.4"/>
    <n v="3455"/>
    <x v="57"/>
    <n v="75.5"/>
    <s v="R"/>
    <m/>
    <n v="1.3239436619718312"/>
  </r>
  <r>
    <d v="2025-12-11T00:00:00"/>
    <s v="5i"/>
    <s v="5 Iron"/>
    <x v="16"/>
    <x v="52"/>
    <m/>
    <n v="112.1"/>
    <n v="3597"/>
    <x v="58"/>
    <n v="21.5"/>
    <s v="R"/>
    <m/>
    <n v="1.3960149439601495"/>
  </r>
  <r>
    <d v="2025-12-11T00:00:00"/>
    <s v="5i"/>
    <s v="5 Iron"/>
    <x v="17"/>
    <x v="53"/>
    <m/>
    <n v="111.2"/>
    <n v="3683"/>
    <x v="59"/>
    <n v="-0.4"/>
    <s v="L"/>
    <m/>
    <n v="1.431145431145431"/>
  </r>
  <r>
    <d v="2025-12-11T00:00:00"/>
    <s v="5i"/>
    <s v="5 Iron"/>
    <x v="18"/>
    <x v="54"/>
    <m/>
    <n v="87"/>
    <n v="3663"/>
    <x v="60"/>
    <n v="-12.2"/>
    <s v="L"/>
    <m/>
    <n v="1.3919999999999999"/>
  </r>
  <r>
    <d v="2025-12-11T00:00:00"/>
    <s v="5i"/>
    <s v="5 Iron"/>
    <x v="19"/>
    <x v="55"/>
    <m/>
    <n v="99.5"/>
    <n v="3257"/>
    <x v="61"/>
    <n v="-43.5"/>
    <s v="L"/>
    <m/>
    <n v="1.2989556135770235"/>
  </r>
  <r>
    <d v="2025-12-11T00:00:00"/>
    <s v="5i"/>
    <s v="5 Iron"/>
    <x v="20"/>
    <x v="56"/>
    <m/>
    <n v="112.5"/>
    <n v="4360"/>
    <x v="62"/>
    <n v="37.6"/>
    <s v="R"/>
    <m/>
    <n v="1.4027431421446384"/>
  </r>
  <r>
    <d v="2025-12-11T00:00:00"/>
    <s v="5i"/>
    <s v="5 Iron"/>
    <x v="21"/>
    <x v="57"/>
    <m/>
    <n v="101.4"/>
    <n v="4375"/>
    <x v="63"/>
    <n v="38.9"/>
    <s v="R"/>
    <m/>
    <n v="1.37212449255751"/>
  </r>
  <r>
    <d v="2025-12-11T00:00:00"/>
    <s v="5i"/>
    <s v="5 Iron"/>
    <x v="22"/>
    <x v="58"/>
    <m/>
    <n v="110.4"/>
    <n v="3867"/>
    <x v="64"/>
    <n v="12.6"/>
    <s v="R"/>
    <m/>
    <n v="1.3921815889029006"/>
  </r>
  <r>
    <d v="2025-12-11T00:00:00"/>
    <s v="5i"/>
    <s v="5 Iron"/>
    <x v="23"/>
    <x v="59"/>
    <m/>
    <n v="94.4"/>
    <n v="3673"/>
    <x v="65"/>
    <n v="-54.9"/>
    <s v="L"/>
    <m/>
    <n v="1.3390070921985817"/>
  </r>
  <r>
    <d v="2025-12-11T00:00:00"/>
    <s v="5i"/>
    <s v="5 Iron"/>
    <x v="24"/>
    <x v="60"/>
    <m/>
    <n v="107.9"/>
    <n v="3492"/>
    <x v="66"/>
    <n v="22"/>
    <s v="R"/>
    <m/>
    <n v="1.416010498687664"/>
  </r>
  <r>
    <d v="2025-12-11T00:00:00"/>
    <s v="5i"/>
    <s v="5 Iron"/>
    <x v="25"/>
    <x v="61"/>
    <m/>
    <n v="96.9"/>
    <n v="2466"/>
    <x v="67"/>
    <n v="-21.6"/>
    <s v="L"/>
    <m/>
    <n v="1.3590462833099581"/>
  </r>
  <r>
    <d v="2025-12-11T00:00:00"/>
    <s v="5i"/>
    <s v="5 Iron"/>
    <x v="26"/>
    <x v="62"/>
    <m/>
    <n v="95.2"/>
    <n v="2769"/>
    <x v="68"/>
    <n v="-14.9"/>
    <s v="L"/>
    <m/>
    <n v="1.4759689922480621"/>
  </r>
  <r>
    <d v="2025-12-11T00:00:00"/>
    <s v="5i"/>
    <s v="5 Iron"/>
    <x v="27"/>
    <x v="63"/>
    <m/>
    <n v="108.7"/>
    <n v="3897"/>
    <x v="69"/>
    <n v="-48.8"/>
    <s v="L"/>
    <m/>
    <n v="1.3935897435897435"/>
  </r>
  <r>
    <d v="2025-12-11T00:00:00"/>
    <s v="5i"/>
    <s v="5 Iron"/>
    <x v="28"/>
    <x v="59"/>
    <m/>
    <n v="101"/>
    <n v="3169"/>
    <x v="70"/>
    <n v="-26.2"/>
    <s v="L"/>
    <m/>
    <n v="1.4326241134751774"/>
  </r>
  <r>
    <d v="2025-12-11T00:00:00"/>
    <s v="5i"/>
    <s v="5 Iron"/>
    <x v="29"/>
    <x v="48"/>
    <m/>
    <n v="119.8"/>
    <n v="3842"/>
    <x v="71"/>
    <n v="-56.1"/>
    <s v="L"/>
    <m/>
    <n v="1.4717444717444716"/>
  </r>
  <r>
    <d v="2025-12-11T00:00:00"/>
    <s v="5i"/>
    <s v="5 Iron"/>
    <x v="30"/>
    <x v="57"/>
    <m/>
    <n v="108.2"/>
    <n v="3878"/>
    <x v="72"/>
    <n v="32.4"/>
    <s v="R"/>
    <m/>
    <n v="1.4641407307171852"/>
  </r>
  <r>
    <d v="2025-12-11T00:00:00"/>
    <s v="5i"/>
    <s v="5 Iron"/>
    <x v="31"/>
    <x v="64"/>
    <m/>
    <n v="107.2"/>
    <n v="4058"/>
    <x v="73"/>
    <n v="27.4"/>
    <s v="R"/>
    <m/>
    <n v="1.4049803407601573"/>
  </r>
  <r>
    <d v="2025-12-11T00:00:00"/>
    <s v="5i"/>
    <s v="5 Iron"/>
    <x v="32"/>
    <x v="65"/>
    <m/>
    <n v="112.6"/>
    <n v="4374"/>
    <x v="15"/>
    <n v="38"/>
    <s v="R"/>
    <m/>
    <n v="1.4289340101522843"/>
  </r>
  <r>
    <d v="2025-12-11T00:00:00"/>
    <s v="5i"/>
    <s v="5 Iron"/>
    <x v="33"/>
    <x v="66"/>
    <m/>
    <n v="125"/>
    <n v="4063"/>
    <x v="74"/>
    <n v="-118.9"/>
    <s v="L"/>
    <m/>
    <n v="1.4654161781946073"/>
  </r>
  <r>
    <d v="2025-12-11T00:00:00"/>
    <s v="5i"/>
    <s v="5 Iron"/>
    <x v="34"/>
    <x v="67"/>
    <m/>
    <n v="110.6"/>
    <n v="3756"/>
    <x v="75"/>
    <n v="-65.400000000000006"/>
    <s v="L"/>
    <m/>
    <n v="1.4727030625832225"/>
  </r>
  <r>
    <d v="2025-12-11T00:00:00"/>
    <s v="5i"/>
    <s v="5 Iron"/>
    <x v="35"/>
    <x v="45"/>
    <m/>
    <n v="108.7"/>
    <n v="3606"/>
    <x v="76"/>
    <n v="-62.3"/>
    <s v="L"/>
    <m/>
    <n v="1.3621553884711781"/>
  </r>
  <r>
    <d v="2025-12-11T00:00:00"/>
    <s v="5i"/>
    <s v="5 Iron"/>
    <x v="36"/>
    <x v="60"/>
    <m/>
    <n v="100.8"/>
    <n v="3463"/>
    <x v="77"/>
    <n v="0.5"/>
    <s v="R"/>
    <m/>
    <n v="1.3228346456692912"/>
  </r>
  <r>
    <d v="2025-12-11T00:00:00"/>
    <s v="5i"/>
    <s v="5 Iron"/>
    <x v="37"/>
    <x v="68"/>
    <m/>
    <n v="108.4"/>
    <n v="3441"/>
    <x v="78"/>
    <n v="-16.399999999999999"/>
    <s v="L"/>
    <m/>
    <n v="1.4491978609625671"/>
  </r>
  <r>
    <d v="2025-12-11T00:00:00"/>
    <s v="5i"/>
    <s v="5 Iron"/>
    <x v="38"/>
    <x v="69"/>
    <m/>
    <n v="114.3"/>
    <n v="3885"/>
    <x v="79"/>
    <n v="27.7"/>
    <s v="R"/>
    <m/>
    <n v="1.4216417910447761"/>
  </r>
  <r>
    <d v="2025-12-11T00:00:00"/>
    <s v="5i"/>
    <s v="5 Iron"/>
    <x v="39"/>
    <x v="70"/>
    <m/>
    <n v="114.1"/>
    <n v="4655"/>
    <x v="80"/>
    <n v="86.6"/>
    <s v="R"/>
    <m/>
    <n v="1.4461343472750314"/>
  </r>
  <r>
    <d v="2025-12-11T00:00:00"/>
    <s v="5i"/>
    <s v="5 Iron"/>
    <x v="40"/>
    <x v="71"/>
    <m/>
    <n v="113.1"/>
    <n v="3795"/>
    <x v="81"/>
    <n v="-10.1"/>
    <s v="L"/>
    <m/>
    <n v="1.3962962962962961"/>
  </r>
  <r>
    <d v="2025-12-11T00:00:00"/>
    <s v="5i"/>
    <s v="5 Iron"/>
    <x v="41"/>
    <x v="72"/>
    <m/>
    <n v="96.5"/>
    <n v="2975"/>
    <x v="82"/>
    <n v="-34.6"/>
    <s v="L"/>
    <m/>
    <n v="1.464339908952959"/>
  </r>
  <r>
    <d v="2025-12-11T00:00:00"/>
    <s v="5i"/>
    <s v="5 Iron"/>
    <x v="42"/>
    <x v="73"/>
    <m/>
    <n v="106.2"/>
    <n v="3707"/>
    <x v="83"/>
    <n v="20.3"/>
    <s v="R"/>
    <m/>
    <n v="1.4066225165562913"/>
  </r>
  <r>
    <d v="2025-12-11T00:00:00"/>
    <s v="5i"/>
    <s v="5 Iron"/>
    <x v="43"/>
    <x v="74"/>
    <m/>
    <n v="89"/>
    <n v="1743"/>
    <x v="84"/>
    <n v="5.4"/>
    <s v="R"/>
    <m/>
    <n v="1.2588401697312588"/>
  </r>
  <r>
    <d v="2025-12-11T00:00:00"/>
    <s v="7i"/>
    <s v="7 Iron"/>
    <x v="0"/>
    <x v="75"/>
    <m/>
    <n v="104.9"/>
    <n v="4749"/>
    <x v="42"/>
    <n v="19"/>
    <s v="R"/>
    <m/>
    <n v="1.4175675675675676"/>
  </r>
  <r>
    <d v="2025-12-11T00:00:00"/>
    <s v="7i"/>
    <s v="7 Iron"/>
    <x v="1"/>
    <x v="76"/>
    <m/>
    <n v="94.4"/>
    <n v="4564"/>
    <x v="85"/>
    <n v="-7.4"/>
    <s v="L"/>
    <m/>
    <n v="1.3505007153075823"/>
  </r>
  <r>
    <d v="2025-12-11T00:00:00"/>
    <s v="7i"/>
    <s v="7 Iron"/>
    <x v="2"/>
    <x v="77"/>
    <m/>
    <n v="104.4"/>
    <n v="4484"/>
    <x v="86"/>
    <n v="-0.7"/>
    <s v="L"/>
    <m/>
    <n v="1.3754940711462451"/>
  </r>
  <r>
    <d v="2025-12-11T00:00:00"/>
    <s v="7i"/>
    <s v="7 Iron"/>
    <x v="3"/>
    <x v="78"/>
    <m/>
    <n v="105"/>
    <n v="4611"/>
    <x v="87"/>
    <n v="-12.7"/>
    <s v="L"/>
    <m/>
    <n v="1.4246947082767978"/>
  </r>
  <r>
    <d v="2025-12-11T00:00:00"/>
    <s v="7i"/>
    <s v="7 Iron"/>
    <x v="4"/>
    <x v="51"/>
    <m/>
    <n v="107.9"/>
    <n v="6700"/>
    <x v="88"/>
    <n v="89.2"/>
    <s v="R"/>
    <m/>
    <n v="1.3288177339901479"/>
  </r>
  <r>
    <d v="2025-12-11T00:00:00"/>
    <s v="7i"/>
    <s v="7 Iron"/>
    <x v="5"/>
    <x v="79"/>
    <m/>
    <n v="100.2"/>
    <n v="5377"/>
    <x v="83"/>
    <n v="42.4"/>
    <s v="R"/>
    <m/>
    <n v="1.3577235772357725"/>
  </r>
  <r>
    <d v="2025-12-11T00:00:00"/>
    <s v="7i"/>
    <s v="7 Iron"/>
    <x v="6"/>
    <x v="80"/>
    <m/>
    <n v="102.9"/>
    <n v="2931"/>
    <x v="89"/>
    <n v="-19.5"/>
    <s v="L"/>
    <m/>
    <n v="1.3091603053435117"/>
  </r>
  <r>
    <d v="2025-12-11T00:00:00"/>
    <s v="7i"/>
    <s v="7 Iron"/>
    <x v="7"/>
    <x v="81"/>
    <m/>
    <n v="106.6"/>
    <n v="5753"/>
    <x v="90"/>
    <n v="7.9"/>
    <s v="R"/>
    <m/>
    <n v="1.3493670886075948"/>
  </r>
  <r>
    <d v="2025-12-11T00:00:00"/>
    <s v="7i"/>
    <s v="7 Iron"/>
    <x v="8"/>
    <x v="82"/>
    <m/>
    <n v="92.1"/>
    <n v="4075"/>
    <x v="91"/>
    <n v="-14.8"/>
    <s v="L"/>
    <m/>
    <n v="1.3624260355029587"/>
  </r>
  <r>
    <d v="2025-12-11T00:00:00"/>
    <s v="7i"/>
    <s v="7 Iron"/>
    <x v="9"/>
    <x v="83"/>
    <m/>
    <n v="110.2"/>
    <n v="5238"/>
    <x v="92"/>
    <n v="-50.9"/>
    <s v="L"/>
    <m/>
    <n v="1.4164524421593832"/>
  </r>
  <r>
    <d v="2025-12-11T00:00:00"/>
    <s v="7i"/>
    <s v="7 Iron"/>
    <x v="10"/>
    <x v="84"/>
    <m/>
    <n v="100.9"/>
    <n v="4719"/>
    <x v="83"/>
    <n v="-18.100000000000001"/>
    <s v="L"/>
    <m/>
    <n v="1.3746594005449591"/>
  </r>
  <r>
    <d v="2025-12-11T00:00:00"/>
    <s v="7i"/>
    <s v="7 Iron"/>
    <x v="11"/>
    <x v="85"/>
    <m/>
    <n v="77.900000000000006"/>
    <n v="2282"/>
    <x v="93"/>
    <n v="-28"/>
    <s v="L"/>
    <m/>
    <n v="1.112857142857143"/>
  </r>
  <r>
    <d v="2025-12-11T00:00:00"/>
    <s v="7i"/>
    <s v="7 Iron"/>
    <x v="12"/>
    <x v="86"/>
    <m/>
    <n v="80"/>
    <n v="3752"/>
    <x v="94"/>
    <n v="12.8"/>
    <s v="R"/>
    <m/>
    <n v="1.2480499219968799"/>
  </r>
  <r>
    <d v="2025-12-11T00:00:00"/>
    <s v="7i"/>
    <s v="7 Iron"/>
    <x v="13"/>
    <x v="87"/>
    <m/>
    <n v="101.3"/>
    <n v="5233"/>
    <x v="95"/>
    <n v="-9.9"/>
    <s v="L"/>
    <m/>
    <n v="1.3155844155844156"/>
  </r>
  <r>
    <d v="2025-12-11T00:00:00"/>
    <s v="7i"/>
    <s v="7 Iron"/>
    <x v="14"/>
    <x v="88"/>
    <m/>
    <n v="107.1"/>
    <n v="4812"/>
    <x v="96"/>
    <n v="-35.4"/>
    <s v="L"/>
    <m/>
    <n v="1.39453125"/>
  </r>
  <r>
    <d v="2025-12-11T00:00:00"/>
    <s v="7i"/>
    <s v="7 Iron"/>
    <x v="15"/>
    <x v="89"/>
    <m/>
    <n v="105.9"/>
    <n v="4849"/>
    <x v="97"/>
    <n v="2.1"/>
    <s v="R"/>
    <m/>
    <n v="1.4233870967741935"/>
  </r>
  <r>
    <d v="2025-12-11T00:00:00"/>
    <s v="7i"/>
    <s v="7 Iron"/>
    <x v="16"/>
    <x v="90"/>
    <m/>
    <n v="94.2"/>
    <n v="5270"/>
    <x v="98"/>
    <n v="68.099999999999994"/>
    <s v="R"/>
    <m/>
    <n v="1.23784494086728"/>
  </r>
  <r>
    <d v="2025-12-11T00:00:00"/>
    <s v="7i"/>
    <s v="7 Iron"/>
    <x v="17"/>
    <x v="91"/>
    <m/>
    <n v="85.2"/>
    <n v="3940"/>
    <x v="99"/>
    <n v="-4.5999999999999996"/>
    <s v="L"/>
    <m/>
    <n v="1.3545310015898251"/>
  </r>
  <r>
    <d v="2025-12-11T00:00:00"/>
    <s v="7i"/>
    <s v="7 Iron"/>
    <x v="18"/>
    <x v="92"/>
    <m/>
    <n v="90.5"/>
    <n v="3960"/>
    <x v="100"/>
    <n v="23"/>
    <s v="R"/>
    <m/>
    <n v="1.2482758620689656"/>
  </r>
  <r>
    <d v="2025-12-11T00:00:00"/>
    <s v="7i"/>
    <s v="7 Iron"/>
    <x v="19"/>
    <x v="93"/>
    <m/>
    <n v="107.2"/>
    <n v="4975"/>
    <x v="101"/>
    <n v="-17.399999999999999"/>
    <s v="L"/>
    <m/>
    <n v="1.3621346886912324"/>
  </r>
  <r>
    <d v="2025-12-11T00:00:00"/>
    <s v="7i"/>
    <s v="7 Iron"/>
    <x v="20"/>
    <x v="94"/>
    <m/>
    <n v="106.9"/>
    <n v="5214"/>
    <x v="102"/>
    <n v="35.700000000000003"/>
    <s v="R"/>
    <m/>
    <n v="1.3793548387096775"/>
  </r>
  <r>
    <d v="2025-12-11T00:00:00"/>
    <s v="7i"/>
    <s v="7 Iron"/>
    <x v="21"/>
    <x v="95"/>
    <m/>
    <n v="101.3"/>
    <n v="5549"/>
    <x v="103"/>
    <n v="32.5"/>
    <s v="R"/>
    <m/>
    <n v="1.3381770145310434"/>
  </r>
  <r>
    <d v="2025-12-11T00:00:00"/>
    <s v="7i"/>
    <s v="7 Iron"/>
    <x v="22"/>
    <x v="96"/>
    <m/>
    <n v="74.2"/>
    <n v="5229"/>
    <x v="104"/>
    <n v="25.5"/>
    <s v="R"/>
    <m/>
    <n v="1.1611893583724571"/>
  </r>
  <r>
    <d v="2025-12-11T00:00:00"/>
    <s v="7i"/>
    <s v="7 Iron"/>
    <x v="23"/>
    <x v="97"/>
    <m/>
    <n v="105.1"/>
    <n v="4435"/>
    <x v="105"/>
    <n v="-32"/>
    <s v="L"/>
    <m/>
    <n v="1.349165596919127"/>
  </r>
  <r>
    <d v="2025-12-11T00:00:00"/>
    <s v="7i"/>
    <s v="7 Iron"/>
    <x v="24"/>
    <x v="98"/>
    <m/>
    <n v="113.5"/>
    <n v="4925"/>
    <x v="106"/>
    <n v="-40.799999999999997"/>
    <s v="L"/>
    <m/>
    <n v="1.37409200968523"/>
  </r>
  <r>
    <d v="2025-12-11T00:00:00"/>
    <s v="7i"/>
    <s v="7 Iron"/>
    <x v="25"/>
    <x v="41"/>
    <m/>
    <n v="112.6"/>
    <n v="4924"/>
    <x v="107"/>
    <n v="-53.1"/>
    <s v="L"/>
    <m/>
    <n v="1.4343949044585986"/>
  </r>
  <r>
    <d v="2025-12-11T00:00:00"/>
    <s v="7i"/>
    <s v="7 Iron"/>
    <x v="26"/>
    <x v="99"/>
    <m/>
    <n v="102.7"/>
    <n v="4796"/>
    <x v="108"/>
    <n v="-17.2"/>
    <s v="L"/>
    <m/>
    <n v="1.3748326639892905"/>
  </r>
  <r>
    <d v="2025-12-11T00:00:00"/>
    <s v="7i"/>
    <s v="7 Iron"/>
    <x v="27"/>
    <x v="100"/>
    <m/>
    <n v="98.3"/>
    <n v="4973"/>
    <x v="109"/>
    <n v="5.3"/>
    <s v="R"/>
    <m/>
    <n v="1.357734806629834"/>
  </r>
  <r>
    <d v="2025-12-11T00:00:00"/>
    <s v="7i"/>
    <s v="7 Iron"/>
    <x v="28"/>
    <x v="101"/>
    <m/>
    <n v="111"/>
    <n v="5107"/>
    <x v="110"/>
    <n v="-71.2"/>
    <s v="L"/>
    <m/>
    <n v="1.3962264150943395"/>
  </r>
  <r>
    <d v="2025-12-11T00:00:00"/>
    <s v="7i"/>
    <s v="7 Iron"/>
    <x v="29"/>
    <x v="102"/>
    <m/>
    <n v="104.7"/>
    <n v="4297"/>
    <x v="111"/>
    <n v="-45.8"/>
    <s v="L"/>
    <m/>
    <n v="1.3704188481675392"/>
  </r>
  <r>
    <d v="2025-12-11T00:00:00"/>
    <s v="7i"/>
    <s v="7 Iron"/>
    <x v="30"/>
    <x v="40"/>
    <m/>
    <n v="108.6"/>
    <n v="5250"/>
    <x v="112"/>
    <n v="-16.399999999999999"/>
    <s v="L"/>
    <m/>
    <n v="1.3729456384323642"/>
  </r>
  <r>
    <d v="2025-12-11T00:00:00"/>
    <s v="7i"/>
    <s v="7 Iron"/>
    <x v="31"/>
    <x v="103"/>
    <m/>
    <n v="83.4"/>
    <n v="4160"/>
    <x v="113"/>
    <n v="-20.100000000000001"/>
    <s v="L"/>
    <m/>
    <n v="1.2017291066282421"/>
  </r>
  <r>
    <d v="2025-12-11T00:00:00"/>
    <s v="7i"/>
    <s v="7 Iron"/>
    <x v="32"/>
    <x v="46"/>
    <m/>
    <n v="105.7"/>
    <n v="4987"/>
    <x v="45"/>
    <n v="1.6"/>
    <s v="R"/>
    <m/>
    <n v="1.3907894736842106"/>
  </r>
  <r>
    <d v="2025-12-11T00:00:00"/>
    <s v="7i"/>
    <s v="7 Iron"/>
    <x v="33"/>
    <x v="104"/>
    <m/>
    <n v="100.8"/>
    <n v="4632"/>
    <x v="114"/>
    <n v="-35.700000000000003"/>
    <s v="L"/>
    <m/>
    <n v="1.2873563218390804"/>
  </r>
  <r>
    <d v="2025-12-11T00:00:00"/>
    <s v="7i"/>
    <s v="7 Iron"/>
    <x v="34"/>
    <x v="105"/>
    <m/>
    <n v="88"/>
    <n v="3902"/>
    <x v="115"/>
    <n v="41.1"/>
    <s v="R"/>
    <m/>
    <n v="1.25"/>
  </r>
  <r>
    <d v="2025-12-11T00:00:00"/>
    <s v="7i"/>
    <s v="7 Iron"/>
    <x v="35"/>
    <x v="90"/>
    <m/>
    <n v="103.2"/>
    <n v="4110"/>
    <x v="116"/>
    <n v="3.2"/>
    <s v="R"/>
    <m/>
    <n v="1.3561103810775297"/>
  </r>
  <r>
    <d v="2025-12-11T00:00:00"/>
    <s v="7i"/>
    <s v="7 Iron"/>
    <x v="36"/>
    <x v="106"/>
    <m/>
    <n v="113.5"/>
    <n v="5011"/>
    <x v="117"/>
    <n v="-60"/>
    <s v="L"/>
    <m/>
    <n v="1.4205256570713392"/>
  </r>
  <r>
    <d v="2025-12-11T00:00:00"/>
    <s v="7i"/>
    <s v="7 Iron"/>
    <x v="37"/>
    <x v="107"/>
    <m/>
    <n v="99.3"/>
    <n v="4299"/>
    <x v="118"/>
    <n v="-12.7"/>
    <s v="L"/>
    <m/>
    <n v="1.3328859060402685"/>
  </r>
  <r>
    <d v="2025-12-11T00:00:00"/>
    <s v="7i"/>
    <s v="7 Iron"/>
    <x v="38"/>
    <x v="43"/>
    <m/>
    <n v="102.5"/>
    <n v="4096"/>
    <x v="119"/>
    <n v="-54.5"/>
    <s v="L"/>
    <m/>
    <n v="1.4002732240437159"/>
  </r>
  <r>
    <d v="2025-12-11T00:00:00"/>
    <s v="7i"/>
    <s v="7 Iron"/>
    <x v="39"/>
    <x v="108"/>
    <m/>
    <n v="100.6"/>
    <n v="4677"/>
    <x v="120"/>
    <n v="-0.6"/>
    <s v="L"/>
    <m/>
    <n v="1.3799725651577501"/>
  </r>
  <r>
    <d v="2025-12-11T00:00:00"/>
    <s v="7i"/>
    <s v="7 Iron"/>
    <x v="40"/>
    <x v="88"/>
    <m/>
    <n v="96.7"/>
    <n v="7065"/>
    <x v="121"/>
    <n v="18.399999999999999"/>
    <s v="R"/>
    <m/>
    <n v="1.2591145833333335"/>
  </r>
  <r>
    <d v="2025-12-11T00:00:00"/>
    <s v="7i"/>
    <s v="7 Iron"/>
    <x v="41"/>
    <x v="109"/>
    <m/>
    <n v="105.8"/>
    <n v="4928"/>
    <x v="122"/>
    <n v="-33.299999999999997"/>
    <s v="L"/>
    <m/>
    <n v="1.4106666666666667"/>
  </r>
  <r>
    <d v="2025-12-11T00:00:00"/>
    <s v="7i"/>
    <s v="7 Iron"/>
    <x v="42"/>
    <x v="110"/>
    <m/>
    <n v="109.2"/>
    <n v="4956"/>
    <x v="123"/>
    <n v="-12.5"/>
    <s v="L"/>
    <m/>
    <n v="1.4145077720207253"/>
  </r>
  <r>
    <d v="2025-12-11T00:00:00"/>
    <s v="7i"/>
    <s v="7 Iron"/>
    <x v="43"/>
    <x v="111"/>
    <m/>
    <n v="105"/>
    <n v="5256"/>
    <x v="124"/>
    <n v="42.5"/>
    <s v="R"/>
    <m/>
    <n v="1.3962765957446808"/>
  </r>
  <r>
    <d v="2025-12-11T00:00:00"/>
    <s v="7i"/>
    <s v="7 Iron"/>
    <x v="44"/>
    <x v="40"/>
    <m/>
    <n v="109.4"/>
    <n v="5536"/>
    <x v="125"/>
    <n v="-12.8"/>
    <s v="L"/>
    <m/>
    <n v="1.3830594184576488"/>
  </r>
  <r>
    <d v="2025-12-11T00:00:00"/>
    <s v="7i"/>
    <s v="7 Iron"/>
    <x v="45"/>
    <x v="59"/>
    <m/>
    <n v="91.9"/>
    <n v="4504"/>
    <x v="105"/>
    <n v="26.5"/>
    <s v="R"/>
    <m/>
    <n v="1.3035460992907801"/>
  </r>
  <r>
    <d v="2025-12-11T00:00:00"/>
    <s v="8i"/>
    <s v="8 Iron"/>
    <x v="0"/>
    <x v="109"/>
    <m/>
    <n v="102"/>
    <n v="5037"/>
    <x v="126"/>
    <n v="-82"/>
    <s v="L"/>
    <m/>
    <n v="1.36"/>
  </r>
  <r>
    <d v="2025-12-11T00:00:00"/>
    <s v="8i"/>
    <s v="8 Iron"/>
    <x v="1"/>
    <x v="112"/>
    <m/>
    <n v="103.3"/>
    <n v="5809"/>
    <x v="127"/>
    <n v="28.2"/>
    <s v="R"/>
    <m/>
    <n v="1.3718459495351927"/>
  </r>
  <r>
    <d v="2025-12-11T00:00:00"/>
    <s v="8i"/>
    <s v="8 Iron"/>
    <x v="2"/>
    <x v="113"/>
    <m/>
    <n v="100"/>
    <n v="4679"/>
    <x v="128"/>
    <n v="17.3"/>
    <s v="R"/>
    <m/>
    <n v="1.4064697609001409"/>
  </r>
  <r>
    <d v="2025-12-11T00:00:00"/>
    <s v="8i"/>
    <s v="8 Iron"/>
    <x v="3"/>
    <x v="110"/>
    <m/>
    <n v="109"/>
    <n v="5447"/>
    <x v="129"/>
    <n v="-19.899999999999999"/>
    <s v="L"/>
    <m/>
    <n v="1.4119170984455958"/>
  </r>
  <r>
    <d v="2025-12-11T00:00:00"/>
    <s v="8i"/>
    <s v="8 Iron"/>
    <x v="4"/>
    <x v="114"/>
    <m/>
    <n v="101.9"/>
    <n v="3406"/>
    <x v="130"/>
    <n v="-1.7"/>
    <s v="L"/>
    <m/>
    <n v="1.3751686909581649"/>
  </r>
  <r>
    <d v="2025-12-11T00:00:00"/>
    <s v="8i"/>
    <s v="8 Iron"/>
    <x v="5"/>
    <x v="115"/>
    <m/>
    <n v="104"/>
    <n v="4523"/>
    <x v="131"/>
    <n v="-36.6"/>
    <s v="L"/>
    <m/>
    <n v="1.4484679665738163"/>
  </r>
  <r>
    <d v="2025-12-11T00:00:00"/>
    <s v="8i"/>
    <s v="8 Iron"/>
    <x v="6"/>
    <x v="116"/>
    <m/>
    <n v="96.8"/>
    <n v="4094"/>
    <x v="132"/>
    <n v="5.5"/>
    <s v="R"/>
    <m/>
    <n v="1.3653032440056416"/>
  </r>
  <r>
    <d v="2025-12-11T00:00:00"/>
    <s v="8i"/>
    <s v="8 Iron"/>
    <x v="7"/>
    <x v="117"/>
    <m/>
    <n v="95.6"/>
    <n v="4378"/>
    <x v="133"/>
    <n v="-35.799999999999997"/>
    <s v="L"/>
    <m/>
    <n v="1.3875181422351233"/>
  </r>
  <r>
    <d v="2025-12-11T00:00:00"/>
    <s v="9i"/>
    <s v="9 Iron"/>
    <x v="0"/>
    <x v="118"/>
    <m/>
    <n v="98.2"/>
    <n v="5792"/>
    <x v="134"/>
    <n v="-38.4"/>
    <s v="L"/>
    <m/>
    <n v="1.316353887399464"/>
  </r>
  <r>
    <d v="2025-12-11T00:00:00"/>
    <s v="9i"/>
    <s v="9 Iron"/>
    <x v="1"/>
    <x v="84"/>
    <m/>
    <n v="101.9"/>
    <n v="6234"/>
    <x v="135"/>
    <n v="-41.8"/>
    <s v="L"/>
    <m/>
    <n v="1.388283378746594"/>
  </r>
  <r>
    <d v="2025-12-11T00:00:00"/>
    <s v="9i"/>
    <s v="9 Iron"/>
    <x v="2"/>
    <x v="92"/>
    <m/>
    <n v="96.9"/>
    <n v="5841"/>
    <x v="136"/>
    <n v="-4.9000000000000004"/>
    <s v="L"/>
    <m/>
    <n v="1.3365517241379312"/>
  </r>
  <r>
    <d v="2025-12-11T00:00:00"/>
    <s v="9i"/>
    <s v="9 Iron"/>
    <x v="3"/>
    <x v="119"/>
    <m/>
    <n v="96.4"/>
    <n v="6285"/>
    <x v="137"/>
    <n v="-30"/>
    <s v="L"/>
    <m/>
    <n v="1.361581920903955"/>
  </r>
  <r>
    <d v="2025-12-11T00:00:00"/>
    <s v="9i"/>
    <s v="9 Iron"/>
    <x v="4"/>
    <x v="120"/>
    <m/>
    <n v="94.5"/>
    <n v="5973"/>
    <x v="138"/>
    <n v="-2.8"/>
    <s v="L"/>
    <m/>
    <n v="1.3755458515283843"/>
  </r>
  <r>
    <d v="2025-12-11T00:00:00"/>
    <s v="9i"/>
    <s v="9 Iron"/>
    <x v="5"/>
    <x v="121"/>
    <m/>
    <n v="92.5"/>
    <n v="5829"/>
    <x v="139"/>
    <n v="-1.5"/>
    <s v="L"/>
    <m/>
    <n v="1.3805970149253732"/>
  </r>
  <r>
    <d v="2025-12-11T00:00:00"/>
    <s v="9i"/>
    <s v="9 Iron"/>
    <x v="6"/>
    <x v="122"/>
    <m/>
    <n v="87.3"/>
    <n v="4354"/>
    <x v="140"/>
    <n v="19"/>
    <s v="R"/>
    <m/>
    <n v="1.2744525547445256"/>
  </r>
  <r>
    <d v="2025-12-11T00:00:00"/>
    <s v="9i"/>
    <s v="9 Iron"/>
    <x v="7"/>
    <x v="59"/>
    <m/>
    <n v="96.8"/>
    <n v="5045"/>
    <x v="141"/>
    <n v="-84.5"/>
    <s v="L"/>
    <m/>
    <n v="1.3730496453900709"/>
  </r>
  <r>
    <d v="2025-12-11T00:00:00"/>
    <s v="9i"/>
    <s v="9 Iron"/>
    <x v="8"/>
    <x v="123"/>
    <m/>
    <n v="92.9"/>
    <n v="6000"/>
    <x v="142"/>
    <n v="18.399999999999999"/>
    <s v="R"/>
    <m/>
    <n v="1.3424855491329479"/>
  </r>
  <r>
    <d v="2025-12-11T00:00:00"/>
    <s v="9i"/>
    <s v="9 Iron"/>
    <x v="9"/>
    <x v="124"/>
    <m/>
    <n v="91.4"/>
    <n v="5625"/>
    <x v="143"/>
    <n v="-12.5"/>
    <s v="L"/>
    <m/>
    <n v="1.3806646525679758"/>
  </r>
  <r>
    <d v="2025-12-11T00:00:00"/>
    <s v="9i"/>
    <s v="9 Iron"/>
    <x v="10"/>
    <x v="125"/>
    <m/>
    <n v="75.2"/>
    <n v="4098"/>
    <x v="144"/>
    <n v="3.5"/>
    <s v="R"/>
    <m/>
    <n v="1.2767402376910018"/>
  </r>
  <r>
    <d v="2025-12-11T00:00:00"/>
    <s v="9i"/>
    <s v="9 Iron"/>
    <x v="11"/>
    <x v="123"/>
    <m/>
    <n v="86.2"/>
    <n v="5325"/>
    <x v="145"/>
    <n v="11.9"/>
    <s v="R"/>
    <m/>
    <n v="1.245664739884393"/>
  </r>
  <r>
    <d v="2025-12-11T00:00:00"/>
    <s v="9i"/>
    <s v="9 Iron"/>
    <x v="12"/>
    <x v="59"/>
    <m/>
    <n v="95.8"/>
    <n v="5928"/>
    <x v="146"/>
    <n v="-4.5"/>
    <s v="L"/>
    <m/>
    <n v="1.3588652482269503"/>
  </r>
  <r>
    <d v="2025-12-11T00:00:00"/>
    <s v="9i"/>
    <s v="9 Iron"/>
    <x v="13"/>
    <x v="126"/>
    <m/>
    <n v="85.1"/>
    <n v="3252"/>
    <x v="147"/>
    <n v="-15.3"/>
    <s v="L"/>
    <m/>
    <n v="1.3550955414012738"/>
  </r>
  <r>
    <d v="2025-12-11T00:00:00"/>
    <s v="PW"/>
    <s v="Pitching Wedge"/>
    <x v="0"/>
    <x v="127"/>
    <m/>
    <n v="101.3"/>
    <n v="7964"/>
    <x v="43"/>
    <n v="-54.8"/>
    <s v="L"/>
    <m/>
    <n v="1.2920918367346939"/>
  </r>
  <r>
    <d v="2025-12-11T00:00:00"/>
    <s v="PW"/>
    <s v="Pitching Wedge"/>
    <x v="1"/>
    <x v="128"/>
    <m/>
    <n v="91.4"/>
    <n v="7452"/>
    <x v="148"/>
    <n v="-23.1"/>
    <s v="L"/>
    <m/>
    <n v="1.2572214580467675"/>
  </r>
  <r>
    <d v="2025-12-11T00:00:00"/>
    <s v="PW"/>
    <s v="Pitching Wedge"/>
    <x v="2"/>
    <x v="61"/>
    <m/>
    <n v="91.3"/>
    <n v="7528"/>
    <x v="149"/>
    <n v="-42.8"/>
    <s v="L"/>
    <m/>
    <n v="1.2805049088359046"/>
  </r>
  <r>
    <d v="2025-12-11T00:00:00"/>
    <s v="PW"/>
    <s v="Pitching Wedge"/>
    <x v="3"/>
    <x v="69"/>
    <m/>
    <n v="104.5"/>
    <n v="5067"/>
    <x v="150"/>
    <n v="-95.5"/>
    <s v="L"/>
    <m/>
    <n v="1.2997512437810945"/>
  </r>
  <r>
    <d v="2025-12-11T00:00:00"/>
    <s v="PW"/>
    <s v="Pitching Wedge"/>
    <x v="4"/>
    <x v="129"/>
    <m/>
    <n v="99.8"/>
    <n v="6612"/>
    <x v="151"/>
    <n v="-78.599999999999994"/>
    <s v="L"/>
    <m/>
    <n v="1.2762148337595907"/>
  </r>
  <r>
    <d v="2025-12-11T00:00:00"/>
    <s v="PW"/>
    <s v="Pitching Wedge"/>
    <x v="5"/>
    <x v="84"/>
    <m/>
    <n v="90.6"/>
    <n v="7310"/>
    <x v="152"/>
    <n v="-40.5"/>
    <s v="L"/>
    <m/>
    <n v="1.2343324250681198"/>
  </r>
  <r>
    <d v="2025-12-11T00:00:00"/>
    <s v="PW"/>
    <s v="Pitching Wedge"/>
    <x v="6"/>
    <x v="77"/>
    <m/>
    <n v="100.7"/>
    <n v="7481"/>
    <x v="116"/>
    <n v="-108.8"/>
    <s v="L"/>
    <m/>
    <n v="1.3267457180500659"/>
  </r>
  <r>
    <d v="2025-12-11T00:00:00"/>
    <s v="PW"/>
    <s v="Pitching Wedge"/>
    <x v="7"/>
    <x v="71"/>
    <m/>
    <n v="101.9"/>
    <n v="7125"/>
    <x v="126"/>
    <n v="16.7"/>
    <s v="R"/>
    <m/>
    <n v="1.2580246913580249"/>
  </r>
  <r>
    <d v="2025-12-11T00:00:00"/>
    <s v="PW"/>
    <s v="Pitching Wedge"/>
    <x v="8"/>
    <x v="99"/>
    <m/>
    <n v="95.5"/>
    <n v="8622"/>
    <x v="153"/>
    <n v="40.6"/>
    <s v="R"/>
    <m/>
    <n v="1.2784471218206157"/>
  </r>
  <r>
    <d v="2025-12-11T00:00:00"/>
    <s v="PW"/>
    <s v="Pitching Wedge"/>
    <x v="9"/>
    <x v="130"/>
    <m/>
    <n v="94.7"/>
    <n v="7988"/>
    <x v="154"/>
    <n v="-17.399999999999999"/>
    <s v="L"/>
    <m/>
    <n v="1.2379084967320262"/>
  </r>
  <r>
    <d v="2025-12-11T00:00:00"/>
    <s v="PW"/>
    <s v="Pitching Wedge"/>
    <x v="10"/>
    <x v="44"/>
    <m/>
    <n v="99.8"/>
    <n v="7228"/>
    <x v="155"/>
    <n v="-22.4"/>
    <s v="L"/>
    <m/>
    <n v="1.3450134770889488"/>
  </r>
  <r>
    <d v="2025-12-11T00:00:00"/>
    <s v="PW"/>
    <s v="Pitching Wedge"/>
    <x v="11"/>
    <x v="65"/>
    <m/>
    <n v="100.4"/>
    <n v="7244"/>
    <x v="156"/>
    <n v="-56.3"/>
    <s v="L"/>
    <m/>
    <n v="1.2741116751269037"/>
  </r>
  <r>
    <d v="2025-12-11T00:00:00"/>
    <s v="PW"/>
    <s v="Pitching Wedge"/>
    <x v="12"/>
    <x v="55"/>
    <m/>
    <n v="100.2"/>
    <n v="7666"/>
    <x v="157"/>
    <n v="-36.200000000000003"/>
    <s v="L"/>
    <m/>
    <n v="1.3080939947780681"/>
  </r>
  <r>
    <d v="2025-12-11T00:00:00"/>
    <s v="PW"/>
    <s v="Pitching Wedge"/>
    <x v="13"/>
    <x v="131"/>
    <m/>
    <n v="80.900000000000006"/>
    <n v="6758"/>
    <x v="158"/>
    <n v="6.5"/>
    <s v="R"/>
    <m/>
    <n v="1.2601246105919004"/>
  </r>
  <r>
    <d v="2025-12-11T00:00:00"/>
    <s v="PW"/>
    <s v="Pitching Wedge"/>
    <x v="14"/>
    <x v="87"/>
    <m/>
    <n v="101.3"/>
    <n v="8358"/>
    <x v="155"/>
    <n v="-2.4"/>
    <s v="L"/>
    <m/>
    <n v="1.3155844155844156"/>
  </r>
  <r>
    <d v="2025-12-11T00:00:00"/>
    <s v="PW"/>
    <s v="Pitching Wedge"/>
    <x v="15"/>
    <x v="88"/>
    <m/>
    <n v="102.9"/>
    <n v="7453"/>
    <x v="159"/>
    <n v="-67.900000000000006"/>
    <s v="L"/>
    <m/>
    <n v="1.3398437500000002"/>
  </r>
  <r>
    <d v="2025-12-11T00:00:00"/>
    <s v="PW"/>
    <s v="Pitching Wedge"/>
    <x v="16"/>
    <x v="132"/>
    <m/>
    <n v="85.5"/>
    <n v="7664"/>
    <x v="160"/>
    <n v="-17.8"/>
    <s v="L"/>
    <m/>
    <n v="1.1696306429548564"/>
  </r>
  <r>
    <d v="2025-12-11T00:00:00"/>
    <s v="PW"/>
    <s v="Pitching Wedge"/>
    <x v="17"/>
    <x v="89"/>
    <m/>
    <n v="98.2"/>
    <n v="7216"/>
    <x v="161"/>
    <n v="-107.6"/>
    <s v="L"/>
    <m/>
    <n v="1.3198924731182795"/>
  </r>
  <r>
    <d v="2025-12-11T00:00:00"/>
    <s v="PW"/>
    <s v="Pitching Wedge"/>
    <x v="18"/>
    <x v="127"/>
    <m/>
    <n v="97.9"/>
    <n v="8410"/>
    <x v="103"/>
    <n v="20.9"/>
    <s v="R"/>
    <m/>
    <n v="1.2487244897959184"/>
  </r>
  <r>
    <d v="2025-12-11T00:00:00"/>
    <s v="PW"/>
    <s v="Pitching Wedge"/>
    <x v="19"/>
    <x v="133"/>
    <m/>
    <n v="103.8"/>
    <n v="5039"/>
    <x v="162"/>
    <n v="-32.9"/>
    <s v="L"/>
    <m/>
    <n v="1.3073047858942064"/>
  </r>
  <r>
    <d v="2025-12-11T00:00:00"/>
    <s v="PW"/>
    <s v="Pitching Wedge"/>
    <x v="20"/>
    <x v="134"/>
    <m/>
    <n v="102.9"/>
    <n v="7628"/>
    <x v="163"/>
    <n v="-39"/>
    <s v="L"/>
    <m/>
    <n v="1.2992424242424243"/>
  </r>
  <r>
    <d v="2025-12-11T00:00:00"/>
    <s v="PW"/>
    <s v="Pitching Wedge"/>
    <x v="21"/>
    <x v="114"/>
    <m/>
    <n v="93.4"/>
    <n v="6971"/>
    <x v="164"/>
    <n v="-30.6"/>
    <s v="L"/>
    <m/>
    <n v="1.260458839406208"/>
  </r>
  <r>
    <d v="2025-12-11T00:00:00"/>
    <s v="PW"/>
    <s v="Pitching Wedge"/>
    <x v="22"/>
    <x v="90"/>
    <m/>
    <n v="96.4"/>
    <n v="7460"/>
    <x v="165"/>
    <n v="-28.9"/>
    <s v="L"/>
    <m/>
    <n v="1.2667542706964523"/>
  </r>
  <r>
    <d v="2025-12-11T00:00:00"/>
    <s v="PW"/>
    <s v="Pitching Wedge"/>
    <x v="23"/>
    <x v="135"/>
    <m/>
    <n v="88.6"/>
    <n v="7635"/>
    <x v="166"/>
    <n v="21.7"/>
    <s v="R"/>
    <m/>
    <n v="1.24438202247191"/>
  </r>
  <r>
    <d v="2025-12-11T00:00:00"/>
    <s v="PW"/>
    <s v="Pitching Wedge"/>
    <x v="24"/>
    <x v="55"/>
    <m/>
    <n v="98"/>
    <n v="7171"/>
    <x v="167"/>
    <n v="-55.3"/>
    <s v="L"/>
    <m/>
    <n v="1.279373368146214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5-12-20T00:00:00"/>
    <s v="Full 18"/>
    <s v="Plantation"/>
    <s v="Outdoor"/>
    <n v="94"/>
    <x v="0"/>
    <s v="Kyle"/>
    <m/>
  </r>
  <r>
    <d v="2025-12-19T00:00:00"/>
    <s v="Full 18"/>
    <s v="Sheryl Park C1"/>
    <s v="Outdoor"/>
    <n v="104"/>
    <x v="0"/>
    <s v="Kyle"/>
    <m/>
  </r>
  <r>
    <d v="2025-12-14T00:00:00"/>
    <s v="Trackman"/>
    <s v="Private Fairway"/>
    <s v="Indoor"/>
    <n v="33"/>
    <x v="1"/>
    <s v="Kyle"/>
    <m/>
  </r>
  <r>
    <d v="2025-12-14T00:00:00"/>
    <s v="Trackman"/>
    <s v="Private Fairway"/>
    <s v="Indoor"/>
    <n v="44"/>
    <x v="1"/>
    <s v="Kyle"/>
    <m/>
  </r>
  <r>
    <d v="2025-12-13T00:00:00"/>
    <s v="Full 18"/>
    <s v="Tanglewood"/>
    <s v="Outdoor"/>
    <n v="99"/>
    <x v="0"/>
    <s v="Kyle"/>
    <m/>
  </r>
  <r>
    <d v="2025-12-12T00:00:00"/>
    <s v="Full 18"/>
    <s v="Sheryl Park C2"/>
    <s v="Outdoor"/>
    <n v="114"/>
    <x v="0"/>
    <s v="Kyle"/>
    <m/>
  </r>
  <r>
    <d v="2025-12-11T00:00:00"/>
    <s v="Trackman"/>
    <s v="Private Fairway"/>
    <s v="Indoor"/>
    <n v="179"/>
    <x v="1"/>
    <s v="Kyle"/>
    <m/>
  </r>
  <r>
    <d v="2025-12-10T00:00:00"/>
    <s v="Trackman"/>
    <s v="Private Fairway"/>
    <s v="Indoor"/>
    <n v="50"/>
    <x v="1"/>
    <s v="Kyle"/>
    <m/>
  </r>
  <r>
    <d v="2025-12-10T00:00:00"/>
    <s v="Trackman"/>
    <s v="Private Fairway"/>
    <s v="Indoor"/>
    <n v="125"/>
    <x v="1"/>
    <s v="Kyle"/>
    <m/>
  </r>
  <r>
    <d v="2025-12-09T00:00:00"/>
    <s v="Trackman"/>
    <s v="Private Fairway"/>
    <s v="Indoor"/>
    <n v="14"/>
    <x v="1"/>
    <s v="Kyle"/>
    <m/>
  </r>
  <r>
    <d v="2025-12-09T00:00:00"/>
    <s v="Trackman"/>
    <s v="Private Fairway"/>
    <s v="Indoor"/>
    <n v="32"/>
    <x v="1"/>
    <s v="Kyle"/>
    <m/>
  </r>
  <r>
    <d v="2025-12-04T00:00:00"/>
    <s v="Trackman"/>
    <s v="Private Fairway"/>
    <s v="Indoor"/>
    <n v="24"/>
    <x v="1"/>
    <s v="Kyle"/>
    <m/>
  </r>
  <r>
    <d v="2025-12-03T00:00:00"/>
    <s v="Toptracer"/>
    <s v="Golf Ranch"/>
    <s v="Outdoor"/>
    <n v="158"/>
    <x v="1"/>
    <s v="Kyle"/>
    <m/>
  </r>
  <r>
    <d v="2025-11-21T00:00:00"/>
    <s v="Toptracer"/>
    <s v="Golf Ranch"/>
    <s v="Outdoor"/>
    <n v="159"/>
    <x v="1"/>
    <s v="Kyle"/>
    <m/>
  </r>
  <r>
    <d v="2025-11-19T00:00:00"/>
    <s v="Toptracer"/>
    <s v="Golf Ranch"/>
    <s v="Outdoor"/>
    <n v="203"/>
    <x v="1"/>
    <s v="Kyle"/>
    <m/>
  </r>
  <r>
    <d v="2025-11-17T00:00:00"/>
    <s v="Toptracer"/>
    <s v="Golf Ranch"/>
    <s v="Outdoor"/>
    <n v="160"/>
    <x v="1"/>
    <s v="Kyle"/>
    <m/>
  </r>
  <r>
    <d v="2025-11-14T00:00:00"/>
    <s v="Full 18"/>
    <s v="All"/>
    <s v="Outdoor"/>
    <n v="96"/>
    <x v="0"/>
    <s v="Kyle"/>
    <m/>
  </r>
  <r>
    <d v="2025-11-08T00:00:00"/>
    <s v="Full 18"/>
    <s v="All"/>
    <s v="Outdoor"/>
    <n v="101"/>
    <x v="0"/>
    <s v="Kyle"/>
    <m/>
  </r>
  <r>
    <d v="2025-11-07T00:00:00"/>
    <s v="Full 18"/>
    <s v="All"/>
    <s v="Outdoor"/>
    <n v="99"/>
    <x v="0"/>
    <s v="Kyle"/>
    <m/>
  </r>
  <r>
    <d v="2025-10-22T00:00:00"/>
    <s v="Full 18"/>
    <s v="All"/>
    <s v="Outdoor"/>
    <n v="85"/>
    <x v="0"/>
    <s v="Kyle"/>
    <m/>
  </r>
  <r>
    <d v="2025-09-30T00:00:00"/>
    <s v="Full 18"/>
    <s v="All"/>
    <s v="Outdoor"/>
    <n v="89"/>
    <x v="0"/>
    <s v="Kyle"/>
    <m/>
  </r>
  <r>
    <d v="2025-09-28T00:00:00"/>
    <s v="Full 18"/>
    <s v="All"/>
    <s v="Outdoor"/>
    <n v="91"/>
    <x v="0"/>
    <s v="Kyle"/>
    <m/>
  </r>
  <r>
    <d v="2025-09-25T00:00:00"/>
    <s v="Full 18"/>
    <s v="All"/>
    <s v="Outdoor"/>
    <n v="79"/>
    <x v="0"/>
    <s v="Kyle"/>
    <m/>
  </r>
  <r>
    <d v="2025-09-24T00:00:00"/>
    <s v="Toptracer"/>
    <s v="Golf Ranch"/>
    <s v="Outdoor"/>
    <n v="160"/>
    <x v="1"/>
    <s v="Kyle"/>
    <m/>
  </r>
  <r>
    <d v="2025-09-17T00:00:00"/>
    <s v="Full 18"/>
    <s v="All"/>
    <s v="Outdoor"/>
    <n v="94"/>
    <x v="0"/>
    <s v="Kyle"/>
    <m/>
  </r>
  <r>
    <d v="2025-09-10T00:00:00"/>
    <s v="Full 18"/>
    <s v="All"/>
    <s v="Outdoor"/>
    <n v="87"/>
    <x v="0"/>
    <s v="Kyle"/>
    <m/>
  </r>
  <r>
    <d v="2025-09-05T00:00:00"/>
    <s v="Full 18"/>
    <s v="All"/>
    <s v="Outdoor"/>
    <n v="89"/>
    <x v="0"/>
    <s v="Kyle"/>
    <m/>
  </r>
  <r>
    <d v="2025-09-04T00:00:00"/>
    <s v="Full 18"/>
    <s v="All"/>
    <s v="Outdoor"/>
    <n v="88"/>
    <x v="0"/>
    <s v="Kyle"/>
    <m/>
  </r>
  <r>
    <d v="2025-08-26T00:00:00"/>
    <s v="Full 18"/>
    <s v="All"/>
    <s v="Outdoor"/>
    <n v="87"/>
    <x v="0"/>
    <s v="Kyle"/>
    <m/>
  </r>
  <r>
    <d v="2025-08-21T00:00:00"/>
    <s v="Full 18"/>
    <s v="All"/>
    <s v="Outdoor"/>
    <n v="128"/>
    <x v="0"/>
    <s v="Kyle"/>
    <m/>
  </r>
  <r>
    <d v="2025-08-19T00:00:00"/>
    <s v="Full 18"/>
    <s v="All"/>
    <s v="Outdoor"/>
    <n v="84"/>
    <x v="0"/>
    <s v="Kyle"/>
    <m/>
  </r>
  <r>
    <d v="2025-08-13T00:00:00"/>
    <s v="Full 18"/>
    <s v="All"/>
    <s v="Outdoor"/>
    <n v="90"/>
    <x v="0"/>
    <s v="Kyle"/>
    <m/>
  </r>
  <r>
    <d v="2025-08-12T00:00:00"/>
    <s v="Toptracer"/>
    <s v="Golf Ranch"/>
    <s v="Outdoor"/>
    <n v="69"/>
    <x v="1"/>
    <s v="Kyle"/>
    <m/>
  </r>
  <r>
    <d v="2025-07-25T00:00:00"/>
    <s v="Full 18"/>
    <s v="All"/>
    <s v="Outdoor"/>
    <n v="81"/>
    <x v="0"/>
    <s v="Kyle"/>
    <m/>
  </r>
  <r>
    <d v="2025-07-24T00:00:00"/>
    <s v="Full 18"/>
    <s v="All"/>
    <s v="Outdoor"/>
    <n v="83"/>
    <x v="0"/>
    <s v="Kyle"/>
    <m/>
  </r>
  <r>
    <d v="2025-07-21T00:00:00"/>
    <s v="Full 18"/>
    <s v="All"/>
    <s v="Outdoor"/>
    <n v="93"/>
    <x v="0"/>
    <s v="Kyle"/>
    <m/>
  </r>
  <r>
    <d v="2025-07-18T00:00:00"/>
    <s v="Toptracer"/>
    <s v="Golf Ranch"/>
    <s v="Outdoor"/>
    <n v="76"/>
    <x v="1"/>
    <s v="Kyle"/>
    <m/>
  </r>
  <r>
    <d v="2025-07-15T00:00:00"/>
    <s v="Full 18"/>
    <s v="All"/>
    <s v="Outdoor"/>
    <n v="88"/>
    <x v="0"/>
    <s v="Kyle"/>
    <m/>
  </r>
  <r>
    <d v="2025-07-11T00:00:00"/>
    <s v="Toptracer"/>
    <s v="Golf Ranch"/>
    <s v="Outdoor"/>
    <n v="78"/>
    <x v="1"/>
    <s v="Kyle"/>
    <m/>
  </r>
  <r>
    <d v="2025-07-09T00:00:00"/>
    <s v="Toptracer"/>
    <s v="Golf Ranch"/>
    <s v="Outdoor"/>
    <n v="115"/>
    <x v="1"/>
    <s v="Kyle"/>
    <m/>
  </r>
  <r>
    <d v="2025-07-03T00:00:00"/>
    <s v="Toptracer"/>
    <s v="Golf Ranch"/>
    <s v="Outdoor"/>
    <n v="154"/>
    <x v="1"/>
    <s v="Kyle"/>
    <m/>
  </r>
  <r>
    <d v="2025-06-30T00:00:00"/>
    <s v="Toptracer"/>
    <s v="Golf Ranch"/>
    <s v="Outdoor"/>
    <n v="159"/>
    <x v="1"/>
    <s v="Kyle"/>
    <m/>
  </r>
  <r>
    <d v="2025-06-26T00:00:00"/>
    <s v="Toptracer"/>
    <s v="Golf Ranch"/>
    <s v="Outdoor"/>
    <n v="114"/>
    <x v="1"/>
    <s v="Kyle"/>
    <m/>
  </r>
  <r>
    <d v="2025-06-24T00:00:00"/>
    <s v="Toptracer"/>
    <s v="Golf Ranch"/>
    <s v="Outdoor"/>
    <n v="116"/>
    <x v="1"/>
    <s v="Kyle"/>
    <m/>
  </r>
  <r>
    <d v="2025-06-18T00:00:00"/>
    <s v="Toptracer"/>
    <s v="Golf Ranch"/>
    <s v="Outdoor"/>
    <n v="156"/>
    <x v="1"/>
    <s v="Kyle"/>
    <m/>
  </r>
  <r>
    <d v="2025-06-16T00:00:00"/>
    <s v="Toptracer"/>
    <s v="Golf Ranch"/>
    <s v="Outdoor"/>
    <n v="131"/>
    <x v="1"/>
    <s v="Kyle"/>
    <m/>
  </r>
  <r>
    <d v="2025-05-02T00:00:00"/>
    <s v="Toptracer"/>
    <s v="Golf Ranch"/>
    <s v="Outdoor"/>
    <n v="80"/>
    <x v="1"/>
    <s v="Kyle"/>
    <m/>
  </r>
  <r>
    <d v="2025-04-29T00:00:00"/>
    <s v="Toptracer"/>
    <s v="Golf Ranch"/>
    <s v="Outdoor"/>
    <n v="111"/>
    <x v="1"/>
    <s v="Kyle"/>
    <m/>
  </r>
  <r>
    <d v="2025-04-28T00:00:00"/>
    <s v="Toptracer"/>
    <s v="Golf Ranch"/>
    <s v="Outdoor"/>
    <n v="149"/>
    <x v="1"/>
    <s v="Kyle"/>
    <m/>
  </r>
  <r>
    <d v="2025-04-28T00:00:00"/>
    <s v="Toptracer"/>
    <s v="Golf Ranch"/>
    <s v="Outdoor"/>
    <n v="13"/>
    <x v="1"/>
    <s v="Kyle"/>
    <m/>
  </r>
  <r>
    <d v="2025-04-17T00:00:00"/>
    <s v="Toptracer"/>
    <s v="Golf Ranch"/>
    <s v="Outdoor"/>
    <n v="64"/>
    <x v="1"/>
    <s v="Kyle"/>
    <m/>
  </r>
  <r>
    <d v="2025-04-17T00:00:00"/>
    <s v="Toptracer"/>
    <s v="Golf Ranch"/>
    <s v="Outdoor"/>
    <n v="33"/>
    <x v="1"/>
    <s v="Kyle"/>
    <m/>
  </r>
  <r>
    <d v="2025-04-17T00:00:00"/>
    <s v="Toptracer"/>
    <s v="Golf Ranch"/>
    <s v="Outdoor"/>
    <n v="70"/>
    <x v="1"/>
    <s v="Kyle"/>
    <m/>
  </r>
  <r>
    <d v="2025-04-14T00:00:00"/>
    <s v="Toptracer"/>
    <s v="Golf Ranch"/>
    <s v="Outdoor"/>
    <n v="24"/>
    <x v="1"/>
    <s v="Kyle"/>
    <m/>
  </r>
  <r>
    <d v="2025-04-14T00:00:00"/>
    <s v="Toptracer"/>
    <s v="Golf Ranch"/>
    <s v="Outdoor"/>
    <n v="131"/>
    <x v="1"/>
    <s v="Kyle"/>
    <m/>
  </r>
  <r>
    <d v="2025-04-11T00:00:00"/>
    <s v="Full 18"/>
    <s v="All"/>
    <s v="Outdoor"/>
    <n v="139"/>
    <x v="0"/>
    <s v="Kyle"/>
    <m/>
  </r>
  <r>
    <d v="2025-04-10T00:00:00"/>
    <s v="Full 18"/>
    <s v="All"/>
    <s v="Outdoor"/>
    <n v="89"/>
    <x v="0"/>
    <s v="Kyle"/>
    <m/>
  </r>
  <r>
    <d v="2025-04-08T00:00:00"/>
    <s v="Full 18"/>
    <s v="All"/>
    <s v="Outdoor"/>
    <n v="89"/>
    <x v="0"/>
    <s v="Kyle"/>
    <m/>
  </r>
  <r>
    <d v="2025-04-07T00:00:00"/>
    <s v="Full 18"/>
    <s v="All"/>
    <s v="Outdoor"/>
    <n v="91"/>
    <x v="0"/>
    <s v="Kyle"/>
    <m/>
  </r>
  <r>
    <d v="2025-03-30T00:00:00"/>
    <s v="Toptracer"/>
    <s v="Golf Ranch"/>
    <s v="Outdoor"/>
    <n v="132"/>
    <x v="1"/>
    <s v="Kyle"/>
    <m/>
  </r>
  <r>
    <d v="2025-03-21T00:00:00"/>
    <s v="Toptracer"/>
    <s v="Golf Ranch"/>
    <s v="Outdoor"/>
    <n v="73"/>
    <x v="1"/>
    <s v="Kyle"/>
    <m/>
  </r>
  <r>
    <d v="2025-03-20T00:00:00"/>
    <s v="Toptracer"/>
    <s v="Golf Ranch"/>
    <s v="Outdoor"/>
    <n v="52"/>
    <x v="1"/>
    <s v="Kyle"/>
    <m/>
  </r>
  <r>
    <d v="2025-03-20T00:00:00"/>
    <s v="Toptracer"/>
    <s v="Golf Ranch"/>
    <s v="Outdoor"/>
    <n v="21"/>
    <x v="1"/>
    <s v="Kyle"/>
    <m/>
  </r>
  <r>
    <d v="2025-03-20T00:00:00"/>
    <s v="Toptracer"/>
    <s v="Golf Ranch"/>
    <s v="Outdoor"/>
    <n v="12"/>
    <x v="1"/>
    <s v="Kyle"/>
    <m/>
  </r>
  <r>
    <d v="2025-03-20T00:00:00"/>
    <s v="Toptracer"/>
    <s v="Golf Ranch"/>
    <s v="Outdoor"/>
    <n v="19"/>
    <x v="1"/>
    <s v="Kyle"/>
    <m/>
  </r>
  <r>
    <d v="2025-03-20T00:00:00"/>
    <s v="Toptracer"/>
    <s v="Golf Ranch"/>
    <s v="Outdoor"/>
    <n v="13"/>
    <x v="1"/>
    <s v="Kyle"/>
    <m/>
  </r>
  <r>
    <d v="2025-03-20T00:00:00"/>
    <s v="Toptracer"/>
    <s v="Golf Ranch"/>
    <s v="Outdoor"/>
    <n v="26"/>
    <x v="1"/>
    <s v="Kyle"/>
    <m/>
  </r>
  <r>
    <d v="2025-03-18T00:00:00"/>
    <s v="Toptracer"/>
    <s v="Golf Ranch"/>
    <s v="Outdoor"/>
    <n v="32"/>
    <x v="1"/>
    <s v="Kyle"/>
    <m/>
  </r>
  <r>
    <d v="2025-03-18T00:00:00"/>
    <s v="Toptracer"/>
    <s v="Golf Ranch"/>
    <s v="Outdoor"/>
    <n v="34"/>
    <x v="1"/>
    <s v="Kyle"/>
    <m/>
  </r>
  <r>
    <d v="2025-03-18T00:00:00"/>
    <s v="Toptracer"/>
    <s v="Golf Ranch"/>
    <s v="Outdoor"/>
    <n v="85"/>
    <x v="1"/>
    <s v="Kyle"/>
    <m/>
  </r>
  <r>
    <d v="2025-03-13T00:00:00"/>
    <s v="Toptracer"/>
    <s v="Golf Ranch"/>
    <s v="Outdoor"/>
    <n v="36"/>
    <x v="1"/>
    <s v="Kyle"/>
    <m/>
  </r>
  <r>
    <d v="2025-03-13T00:00:00"/>
    <s v="Toptracer"/>
    <s v="Golf Ranch"/>
    <s v="Outdoor"/>
    <n v="50"/>
    <x v="1"/>
    <s v="Kyle"/>
    <m/>
  </r>
  <r>
    <d v="2025-03-07T00:00:00"/>
    <s v="Full 18"/>
    <s v="All"/>
    <s v="Outdoor"/>
    <n v="132"/>
    <x v="0"/>
    <s v="Kyle"/>
    <m/>
  </r>
  <r>
    <d v="2025-03-06T00:00:00"/>
    <s v="Toptracer"/>
    <s v="Golf Ranch"/>
    <s v="Outdoor"/>
    <n v="120"/>
    <x v="1"/>
    <s v="Kyle"/>
    <m/>
  </r>
  <r>
    <d v="2025-03-06T00:00:00"/>
    <s v="Toptracer"/>
    <s v="Golf Ranch"/>
    <s v="Outdoor"/>
    <n v="107"/>
    <x v="1"/>
    <s v="Kyle"/>
    <m/>
  </r>
  <r>
    <d v="2025-03-05T00:00:00"/>
    <s v="Toptracer"/>
    <s v="Golf Ranch"/>
    <s v="Outdoor"/>
    <n v="14"/>
    <x v="1"/>
    <s v="Kyle"/>
    <m/>
  </r>
  <r>
    <d v="2025-03-05T00:00:00"/>
    <s v="Toptracer"/>
    <s v="Golf Ranch"/>
    <s v="Outdoor"/>
    <n v="70"/>
    <x v="1"/>
    <s v="Kyle"/>
    <m/>
  </r>
  <r>
    <d v="2025-02-28T00:00:00"/>
    <s v="Full 18"/>
    <s v="All"/>
    <s v="Outdoor"/>
    <n v="88"/>
    <x v="0"/>
    <s v="Kyle"/>
    <m/>
  </r>
  <r>
    <d v="2025-02-26T00:00:00"/>
    <s v="Full 18"/>
    <s v="All"/>
    <s v="Outdoor"/>
    <n v="94"/>
    <x v="0"/>
    <s v="Kyle"/>
    <m/>
  </r>
  <r>
    <d v="2025-02-24T00:00:00"/>
    <s v="Full 18"/>
    <s v="All"/>
    <s v="Outdoor"/>
    <n v="91"/>
    <x v="0"/>
    <s v="Kyle"/>
    <m/>
  </r>
  <r>
    <d v="2025-02-23T00:00:00"/>
    <s v="Full 18"/>
    <s v="All"/>
    <s v="Outdoor"/>
    <n v="88"/>
    <x v="0"/>
    <s v="Kyle"/>
    <m/>
  </r>
  <r>
    <d v="2025-02-15T00:00:00"/>
    <s v="Full 18"/>
    <s v="All"/>
    <s v="Outdoor"/>
    <n v="140"/>
    <x v="0"/>
    <s v="Kyle"/>
    <m/>
  </r>
  <r>
    <d v="2025-02-08T00:00:00"/>
    <s v="Full 18"/>
    <s v="All"/>
    <s v="Outdoor"/>
    <n v="137"/>
    <x v="0"/>
    <s v="Kyle"/>
    <m/>
  </r>
  <r>
    <d v="2025-02-07T00:00:00"/>
    <s v="Full 18"/>
    <s v="All"/>
    <s v="Outdoor"/>
    <n v="94"/>
    <x v="0"/>
    <s v="Kyle"/>
    <m/>
  </r>
  <r>
    <d v="2025-02-05T00:00:00"/>
    <s v="Full 18"/>
    <s v="All"/>
    <s v="Outdoor"/>
    <n v="135"/>
    <x v="0"/>
    <s v="Kyle"/>
    <m/>
  </r>
  <r>
    <d v="2025-02-04T00:00:00"/>
    <s v="Full 18"/>
    <s v="All"/>
    <s v="Outdoor"/>
    <n v="134"/>
    <x v="0"/>
    <s v="Kyle"/>
    <m/>
  </r>
  <r>
    <d v="2025-02-03T00:00:00"/>
    <s v="Toptracer"/>
    <s v="Golf Ranch"/>
    <s v="Outdoor"/>
    <n v="106"/>
    <x v="1"/>
    <s v="Kyle"/>
    <m/>
  </r>
  <r>
    <d v="2025-02-03T00:00:00"/>
    <s v="Toptracer"/>
    <s v="Golf Ranch"/>
    <s v="Outdoor"/>
    <n v="60"/>
    <x v="1"/>
    <s v="Kyle"/>
    <m/>
  </r>
  <r>
    <d v="2025-02-03T00:00:00"/>
    <s v="Toptracer"/>
    <s v="Golf Ranch"/>
    <s v="Outdoor"/>
    <n v="58"/>
    <x v="1"/>
    <s v="Kyle"/>
    <m/>
  </r>
  <r>
    <d v="2025-01-28T00:00:00"/>
    <s v="Toptracer"/>
    <s v="Golf Ranch"/>
    <s v="Outdoor"/>
    <n v="54"/>
    <x v="1"/>
    <s v="Kyle"/>
    <m/>
  </r>
  <r>
    <d v="2025-01-28T00:00:00"/>
    <s v="Toptracer"/>
    <s v="Golf Ranch"/>
    <s v="Outdoor"/>
    <n v="25"/>
    <x v="1"/>
    <s v="Kyle"/>
    <m/>
  </r>
  <r>
    <d v="2025-01-28T00:00:00"/>
    <s v="Toptracer"/>
    <s v="Golf Ranch"/>
    <s v="Outdoor"/>
    <n v="19"/>
    <x v="1"/>
    <s v="Kyle"/>
    <m/>
  </r>
  <r>
    <d v="2025-01-28T00:00:00"/>
    <s v="Toptracer"/>
    <s v="Golf Ranch"/>
    <s v="Outdoor"/>
    <n v="21"/>
    <x v="1"/>
    <s v="Kyle"/>
    <m/>
  </r>
  <r>
    <d v="2025-01-27T00:00:00"/>
    <s v="Toptracer"/>
    <s v="Golf Ranch"/>
    <s v="Outdoor"/>
    <n v="74"/>
    <x v="1"/>
    <s v="Kyle"/>
    <m/>
  </r>
  <r>
    <d v="2025-01-27T00:00:00"/>
    <s v="Toptracer"/>
    <s v="Golf Ranch"/>
    <s v="Outdoor"/>
    <n v="77"/>
    <x v="1"/>
    <s v="Kyle"/>
    <m/>
  </r>
  <r>
    <d v="2025-01-24T00:00:00"/>
    <s v="Full 18"/>
    <s v="All"/>
    <s v="Outdoor"/>
    <n v="93"/>
    <x v="0"/>
    <s v="Kyle"/>
    <m/>
  </r>
  <r>
    <d v="2025-01-15T00:00:00"/>
    <s v="Toptracer"/>
    <s v="Golf Ranch"/>
    <s v="Outdoor"/>
    <n v="97"/>
    <x v="1"/>
    <s v="Kyle"/>
    <m/>
  </r>
  <r>
    <d v="2025-01-15T00:00:00"/>
    <s v="Toptracer"/>
    <s v="Golf Ranch"/>
    <s v="Outdoor"/>
    <n v="75"/>
    <x v="1"/>
    <s v="Kyle"/>
    <m/>
  </r>
  <r>
    <d v="2025-01-15T00:00:00"/>
    <s v="Toptracer"/>
    <s v="Golf Ranch"/>
    <s v="Outdoor"/>
    <n v="34"/>
    <x v="1"/>
    <s v="Kyle"/>
    <m/>
  </r>
  <r>
    <d v="2025-01-15T00:00:00"/>
    <s v="Toptracer"/>
    <s v="Golf Ranch"/>
    <s v="Outdoor"/>
    <n v="62"/>
    <x v="1"/>
    <s v="Kyle"/>
    <m/>
  </r>
  <r>
    <d v="2025-01-03T00:00:00"/>
    <s v="Full 18"/>
    <s v="All"/>
    <s v="Outdoor"/>
    <n v="135"/>
    <x v="0"/>
    <s v="Kyl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B5D5A-0AEC-42B5-B74B-DD04ADA37E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29">
    <pivotField axis="axisRow" showAll="0" sortType="ascending">
      <items count="8">
        <item x="5"/>
        <item x="4"/>
        <item x="0"/>
        <item x="6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8">
    <i>
      <x v="1"/>
    </i>
    <i>
      <x v="5"/>
    </i>
    <i>
      <x v="4"/>
    </i>
    <i>
      <x/>
    </i>
    <i>
      <x v="2"/>
    </i>
    <i>
      <x v="6"/>
    </i>
    <i>
      <x v="3"/>
    </i>
    <i t="grand">
      <x/>
    </i>
  </rowItems>
  <colItems count="1">
    <i/>
  </colItems>
  <dataFields count="1">
    <dataField name="Average of TOTAL" fld="6" subtotal="average" baseField="0" baseItem="0" numFmtId="1"/>
  </dataFields>
  <formats count="8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CC1A6-D3E6-47C6-9234-DA28A53C81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3:E11" firstHeaderRow="1" firstDataRow="1" firstDataCol="1"/>
  <pivotFields count="29">
    <pivotField axis="axisRow" showAll="0" sortType="ascending">
      <items count="8">
        <item x="5"/>
        <item x="4"/>
        <item x="0"/>
        <item x="6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8">
    <i>
      <x v="5"/>
    </i>
    <i>
      <x v="2"/>
    </i>
    <i>
      <x v="6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Min of TOTAL" fld="6" subtotal="min" baseField="0" baseItem="0"/>
  </dataFields>
  <formats count="6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23414-772E-443C-8CF1-7FECD57A65FD}" name="PivotTable2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10" firstHeaderRow="1" firstDataRow="1" firstDataCol="1"/>
  <pivotFields count="29">
    <pivotField axis="axisRow" dataField="1" compact="0" outline="0" showAll="0" sortType="ascending" defaultSubtotal="0">
      <items count="7">
        <item x="1"/>
        <item x="0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 v="6"/>
    </i>
    <i>
      <x v="4"/>
    </i>
    <i>
      <x v="5"/>
    </i>
    <i>
      <x/>
    </i>
    <i>
      <x v="2"/>
    </i>
    <i>
      <x v="1"/>
    </i>
    <i>
      <x v="3"/>
    </i>
  </rowItems>
  <colItems count="1">
    <i/>
  </colItems>
  <dataFields count="1">
    <dataField name="Count of Course" fld="0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E79FC-6411-4F1F-8714-06C04CBFB2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29">
    <pivotField showAll="0">
      <items count="8">
        <item x="5"/>
        <item x="4"/>
        <item x="0"/>
        <item x="6"/>
        <item x="1"/>
        <item x="3"/>
        <item x="2"/>
        <item t="default"/>
      </items>
    </pivotField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28"/>
    <field x="27"/>
    <field x="1"/>
  </rowFields>
  <rowItems count="9">
    <i>
      <x v="1"/>
    </i>
    <i>
      <x v="2"/>
    </i>
    <i>
      <x v="4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TOTAL" fld="6" subtotal="average" baseField="27" baseItem="59" numFmtId="3"/>
  </dataFields>
  <formats count="6">
    <format dxfId="117">
      <pivotArea outline="0" collapsedLevelsAreSubtotals="1" fieldPosition="0"/>
    </format>
    <format dxfId="116">
      <pivotArea dataOnly="0" labelOnly="1" grandCol="1" outline="0" fieldPosition="0"/>
    </format>
    <format dxfId="115">
      <pivotArea outline="0" collapsedLevelsAreSubtotals="1" fieldPosition="0"/>
    </format>
    <format dxfId="114">
      <pivotArea dataOnly="0" labelOnly="1" grandCol="1" outline="0" offset="IV256" fieldPosition="0"/>
    </format>
    <format dxfId="113">
      <pivotArea outline="0" collapsedLevelsAreSubtotals="1" fieldPosition="0"/>
    </format>
    <format dxfId="112">
      <pivotArea dataOnly="0" labelOnly="1" grandCol="1" outline="0" fieldPosition="0"/>
    </format>
  </formats>
  <chartFormats count="1"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DC3BD-E611-4646-ABB3-01E8419BA4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29">
    <pivotField showAll="0">
      <items count="8">
        <item x="5"/>
        <item x="4"/>
        <item x="0"/>
        <item x="6"/>
        <item x="1"/>
        <item x="3"/>
        <item x="2"/>
        <item t="default"/>
      </items>
    </pivotField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2">
        <item x="0"/>
        <item t="default"/>
      </items>
    </pivotField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8"/>
    <field x="27"/>
    <field x="1"/>
  </rowFields>
  <rowItems count="9">
    <i>
      <x v="1"/>
    </i>
    <i>
      <x v="2"/>
    </i>
    <i>
      <x v="4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HC" fld="5" subtotal="average" baseField="28" baseItem="1" numFmtId="1"/>
  </dataFields>
  <chartFormats count="1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A95EF-F601-433D-ABB0-A150875DBB0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3" firstHeaderRow="1" firstDataRow="1" firstDataCol="1"/>
  <pivotFields count="29">
    <pivotField axis="axisRow" showAll="0">
      <items count="8">
        <item x="1"/>
        <item x="0"/>
        <item x="3"/>
        <item x="2"/>
        <item x="4"/>
        <item x="5"/>
        <item x="6"/>
        <item t="default"/>
      </items>
    </pivotField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E9154-3989-4B32-BADC-CB007DCD949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C12" firstHeaderRow="0" firstDataRow="1" firstDataCol="1"/>
  <pivotFields count="29">
    <pivotField showAll="0"/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numFmtId="1" showAll="0"/>
    <pivotField numFmtId="1" showAll="0"/>
    <pivotField showAll="0"/>
    <pivotField dataField="1" showAll="0">
      <items count="12">
        <item x="7"/>
        <item x="8"/>
        <item x="5"/>
        <item x="6"/>
        <item x="3"/>
        <item x="2"/>
        <item x="4"/>
        <item x="0"/>
        <item x="1"/>
        <item x="9"/>
        <item x="10"/>
        <item t="default"/>
      </items>
    </pivotField>
    <pivotField dataField="1" showAll="0">
      <items count="13">
        <item x="8"/>
        <item x="10"/>
        <item x="7"/>
        <item x="1"/>
        <item x="4"/>
        <item x="5"/>
        <item x="0"/>
        <item x="2"/>
        <item x="3"/>
        <item x="11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8"/>
    <field x="27"/>
    <field x="1"/>
  </rowFields>
  <rowItems count="9">
    <i>
      <x v="1"/>
    </i>
    <i>
      <x v="2"/>
    </i>
    <i>
      <x v="4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ont" fld="7" subtotal="average" baseField="28" baseItem="1"/>
    <dataField name="Average of Back" fld="8" subtotal="average" baseField="28" baseItem="1"/>
  </dataFields>
  <formats count="6">
    <format dxfId="105">
      <pivotArea outline="0" collapsedLevelsAreSubtotals="1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outline="0" collapsedLevelsAreSubtotals="1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D7082-2C78-4BF0-83D2-08B2EF3F161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3:H13" firstHeaderRow="0" firstDataRow="1" firstDataCol="1"/>
  <pivotFields count="29">
    <pivotField showAll="0"/>
    <pivotField axis="axisRow"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numFmtId="1" showAll="0"/>
    <pivotField numFmtI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8"/>
    <field x="27"/>
    <field x="1"/>
  </rowFields>
  <rowItems count="10"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ont" fld="7" subtotal="average" baseField="28" baseItem="1"/>
    <dataField name="Average of Back" fld="8" subtotal="average" baseField="28" baseItem="1"/>
  </dataFields>
  <formats count="6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8" type="button" dataOnly="0" labelOnly="1" outline="0" axis="axisRow" fieldPosition="0"/>
    </format>
    <format dxfId="108">
      <pivotArea dataOnly="0" labelOnly="1" fieldPosition="0">
        <references count="1">
          <reference field="28" count="9">
            <x v="1"/>
            <x v="2"/>
            <x v="3"/>
            <x v="4"/>
            <x v="7"/>
            <x v="8"/>
            <x v="9"/>
            <x v="10"/>
            <x v="11"/>
          </reference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D240A-AAA9-4037-95A6-A2478D01D1A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6" firstHeaderRow="1" firstDataRow="1" firstDataCol="1"/>
  <pivotFields count="8">
    <pivotField numFmtId="14"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 sortType="ascending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hot Count" fld="4" baseField="0" baseItem="0"/>
  </dataFields>
  <formats count="4"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D3D59-C691-4225-AF8A-1AFB2358F21F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:T50" firstHeaderRow="0" firstDataRow="1" firstDataCol="1"/>
  <pivotFields count="13">
    <pivotField numFmtId="164" showAll="0"/>
    <pivotField showAll="0"/>
    <pivotField showAll="0"/>
    <pivotField axis="axisRow" numFmtId="1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numFmtId="165" showAll="0">
      <items count="137">
        <item x="125"/>
        <item x="54"/>
        <item x="126"/>
        <item x="91"/>
        <item x="96"/>
        <item x="86"/>
        <item x="131"/>
        <item x="62"/>
        <item x="72"/>
        <item x="124"/>
        <item x="121"/>
        <item x="82"/>
        <item x="122"/>
        <item x="120"/>
        <item x="117"/>
        <item x="123"/>
        <item x="103"/>
        <item x="76"/>
        <item x="85"/>
        <item x="105"/>
        <item x="59"/>
        <item x="74"/>
        <item x="119"/>
        <item x="116"/>
        <item x="113"/>
        <item x="135"/>
        <item x="61"/>
        <item x="115"/>
        <item x="100"/>
        <item x="92"/>
        <item x="128"/>
        <item x="108"/>
        <item x="132"/>
        <item x="43"/>
        <item x="84"/>
        <item x="78"/>
        <item x="79"/>
        <item x="57"/>
        <item x="75"/>
        <item x="114"/>
        <item x="44"/>
        <item x="89"/>
        <item x="107"/>
        <item x="118"/>
        <item x="99"/>
        <item x="68"/>
        <item x="109"/>
        <item x="67"/>
        <item x="111"/>
        <item x="112"/>
        <item x="73"/>
        <item x="95"/>
        <item x="77"/>
        <item x="46"/>
        <item x="90"/>
        <item x="60"/>
        <item x="64"/>
        <item x="102"/>
        <item x="130"/>
        <item x="55"/>
        <item x="42"/>
        <item x="88"/>
        <item x="87"/>
        <item x="110"/>
        <item x="94"/>
        <item x="53"/>
        <item x="83"/>
        <item x="97"/>
        <item x="63"/>
        <item x="39"/>
        <item x="129"/>
        <item x="104"/>
        <item x="127"/>
        <item x="41"/>
        <item x="80"/>
        <item x="93"/>
        <item x="65"/>
        <item x="70"/>
        <item x="81"/>
        <item x="40"/>
        <item x="134"/>
        <item x="58"/>
        <item x="133"/>
        <item x="101"/>
        <item x="45"/>
        <item x="106"/>
        <item x="56"/>
        <item x="52"/>
        <item x="69"/>
        <item x="71"/>
        <item x="51"/>
        <item x="48"/>
        <item x="47"/>
        <item x="50"/>
        <item x="98"/>
        <item x="49"/>
        <item x="1"/>
        <item x="66"/>
        <item x="29"/>
        <item x="10"/>
        <item x="12"/>
        <item x="27"/>
        <item x="25"/>
        <item x="36"/>
        <item x="14"/>
        <item x="3"/>
        <item x="37"/>
        <item x="16"/>
        <item x="22"/>
        <item x="2"/>
        <item x="33"/>
        <item x="30"/>
        <item x="35"/>
        <item x="13"/>
        <item x="9"/>
        <item x="17"/>
        <item x="26"/>
        <item x="8"/>
        <item x="5"/>
        <item x="32"/>
        <item x="28"/>
        <item x="19"/>
        <item x="7"/>
        <item x="31"/>
        <item x="20"/>
        <item x="21"/>
        <item x="11"/>
        <item x="23"/>
        <item x="4"/>
        <item x="24"/>
        <item x="15"/>
        <item x="38"/>
        <item x="0"/>
        <item x="6"/>
        <item x="18"/>
        <item x="34"/>
        <item t="default"/>
      </items>
    </pivotField>
    <pivotField dataField="1" showAll="0"/>
    <pivotField numFmtId="165" showAll="0"/>
    <pivotField numFmtId="1" showAll="0"/>
    <pivotField dataField="1" numFmtId="165" showAll="0">
      <items count="169">
        <item x="27"/>
        <item x="100"/>
        <item x="94"/>
        <item x="147"/>
        <item x="93"/>
        <item x="89"/>
        <item x="115"/>
        <item x="130"/>
        <item x="84"/>
        <item x="144"/>
        <item x="104"/>
        <item x="68"/>
        <item x="140"/>
        <item x="13"/>
        <item x="9"/>
        <item x="132"/>
        <item x="5"/>
        <item x="158"/>
        <item x="113"/>
        <item x="60"/>
        <item x="98"/>
        <item x="99"/>
        <item x="160"/>
        <item x="44"/>
        <item x="145"/>
        <item x="33"/>
        <item x="65"/>
        <item x="91"/>
        <item x="166"/>
        <item x="85"/>
        <item x="152"/>
        <item x="61"/>
        <item x="149"/>
        <item x="148"/>
        <item x="67"/>
        <item x="4"/>
        <item x="143"/>
        <item x="139"/>
        <item x="146"/>
        <item x="164"/>
        <item x="154"/>
        <item x="153"/>
        <item x="82"/>
        <item x="142"/>
        <item x="138"/>
        <item x="150"/>
        <item x="151"/>
        <item x="105"/>
        <item x="121"/>
        <item x="165"/>
        <item x="141"/>
        <item x="103"/>
        <item x="23"/>
        <item x="32"/>
        <item x="109"/>
        <item x="161"/>
        <item x="38"/>
        <item x="119"/>
        <item x="162"/>
        <item x="133"/>
        <item x="137"/>
        <item x="167"/>
        <item x="136"/>
        <item x="116"/>
        <item x="77"/>
        <item x="157"/>
        <item x="43"/>
        <item x="156"/>
        <item x="155"/>
        <item x="29"/>
        <item x="118"/>
        <item x="120"/>
        <item x="134"/>
        <item x="63"/>
        <item x="70"/>
        <item x="126"/>
        <item x="159"/>
        <item x="163"/>
        <item x="83"/>
        <item x="128"/>
        <item x="50"/>
        <item x="135"/>
        <item x="95"/>
        <item x="114"/>
        <item x="111"/>
        <item x="108"/>
        <item x="127"/>
        <item x="69"/>
        <item x="131"/>
        <item x="86"/>
        <item x="57"/>
        <item x="26"/>
        <item x="76"/>
        <item x="87"/>
        <item x="3"/>
        <item x="122"/>
        <item x="124"/>
        <item x="88"/>
        <item x="90"/>
        <item x="97"/>
        <item x="102"/>
        <item x="42"/>
        <item x="45"/>
        <item x="66"/>
        <item x="11"/>
        <item x="129"/>
        <item x="78"/>
        <item x="92"/>
        <item x="101"/>
        <item x="112"/>
        <item x="96"/>
        <item x="73"/>
        <item x="123"/>
        <item x="72"/>
        <item x="125"/>
        <item x="52"/>
        <item x="110"/>
        <item x="48"/>
        <item x="64"/>
        <item x="22"/>
        <item x="47"/>
        <item x="81"/>
        <item x="49"/>
        <item x="59"/>
        <item x="56"/>
        <item x="75"/>
        <item x="51"/>
        <item x="117"/>
        <item x="107"/>
        <item x="46"/>
        <item x="58"/>
        <item x="106"/>
        <item x="62"/>
        <item x="80"/>
        <item x="79"/>
        <item x="15"/>
        <item x="53"/>
        <item x="55"/>
        <item x="31"/>
        <item x="54"/>
        <item x="71"/>
        <item x="7"/>
        <item x="40"/>
        <item x="74"/>
        <item x="2"/>
        <item x="39"/>
        <item x="37"/>
        <item x="8"/>
        <item x="35"/>
        <item x="1"/>
        <item x="34"/>
        <item x="14"/>
        <item x="10"/>
        <item x="20"/>
        <item x="30"/>
        <item x="21"/>
        <item x="17"/>
        <item x="36"/>
        <item x="18"/>
        <item x="41"/>
        <item x="28"/>
        <item x="12"/>
        <item x="16"/>
        <item x="0"/>
        <item x="6"/>
        <item x="25"/>
        <item x="19"/>
        <item x="24"/>
        <item t="default"/>
      </items>
    </pivotField>
    <pivotField numFmtId="165" showAll="0"/>
    <pivotField showAll="0"/>
    <pivotField dataField="1" showAll="0"/>
    <pivotField numFmtId="2" showAl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Club Speed (mph)" fld="4" subtotal="max" baseField="3" baseItem="0" numFmtId="165"/>
    <dataField name="Max of Carry (yds)" fld="8" subtotal="max" baseField="3" baseItem="0" numFmtId="165"/>
    <dataField name="Max of Attack Angle (deg)" fld="5" subtotal="max" baseField="3" baseItem="2"/>
    <dataField name="Max of Low Point (in)" fld="11" subtotal="max" baseField="3" baseItem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655D4-57E8-4A54-A7E8-BC3F9077C16E}" name="Table1" displayName="Table1" ref="A25:AC96" totalsRowShown="0" headerRowDxfId="155" dataDxfId="153" headerRowBorderDxfId="154" tableBorderDxfId="152" totalsRowBorderDxfId="151">
  <autoFilter ref="A25:AC96" xr:uid="{048655D4-57E8-4A54-A7E8-BC3F9077C16E}"/>
  <sortState xmlns:xlrd2="http://schemas.microsoft.com/office/spreadsheetml/2017/richdata2" ref="A26:AB45">
    <sortCondition ref="B25:B45"/>
  </sortState>
  <tableColumns count="29">
    <tableColumn id="1" xr3:uid="{96422C12-DE23-4E4D-97E9-42490BF6BFBB}" name="Course" dataDxfId="38"/>
    <tableColumn id="2" xr3:uid="{22104B13-ED15-4DE5-8893-B2552273E6D4}" name="date" dataDxfId="37"/>
    <tableColumn id="33" xr3:uid="{9E6EDEEB-E0A5-4858-8D59-C7E3C20A4BCD}" name="time" dataDxfId="36"/>
    <tableColumn id="28" xr3:uid="{D0AC486B-938E-48C1-A55A-4C47D3147EA3}" name="temp" dataDxfId="10"/>
    <tableColumn id="26" xr3:uid="{913B838F-D9C0-4749-8CCC-DCA58795ABF4}" name="PAR" dataDxfId="35">
      <calculatedColumnFormula>VLOOKUP(Table1[[#This Row],[Course]],A:B,2,FALSE)</calculatedColumnFormula>
    </tableColumn>
    <tableColumn id="4" xr3:uid="{46940C8C-1680-4188-A711-26BD6D8E5454}" name="Holes?" dataDxfId="34">
      <calculatedColumnFormula>COUNTIF(K26:AB26,"&gt;=0") - COUNTIF(K26:AB26,"*[^0-9.]*")</calculatedColumnFormula>
    </tableColumn>
    <tableColumn id="27" xr3:uid="{77D11B2B-CC54-497B-88E1-2EB59342DF2B}" name="HC" dataDxfId="33">
      <calculatedColumnFormula>Table1[[#This Row],[TOTAL]]-Table1[[#This Row],[PAR]]</calculatedColumnFormula>
    </tableColumn>
    <tableColumn id="5" xr3:uid="{BBE7978C-B87D-4BAA-864D-C836CCEBDDAF}" name="TOTAL" dataDxfId="32">
      <calculatedColumnFormula>J26+I26</calculatedColumnFormula>
    </tableColumn>
    <tableColumn id="6" xr3:uid="{6FEBEDAB-086C-48C1-B078-FF83AF6AAEAF}" name="Front" dataDxfId="31">
      <calculatedColumnFormula>SUM(K26:S26)</calculatedColumnFormula>
    </tableColumn>
    <tableColumn id="7" xr3:uid="{81170FF7-5828-4D88-A88E-D5ED2B677CE1}" name="Back" dataDxfId="30">
      <calculatedColumnFormula>SUM(T26:AB26)</calculatedColumnFormula>
    </tableColumn>
    <tableColumn id="8" xr3:uid="{DE1DA258-7B95-43D9-B4AA-311607CF75CE}" name="H1" dataDxfId="29"/>
    <tableColumn id="9" xr3:uid="{98ECAC82-9886-44FF-8C33-48B1511D4AE6}" name="H2" dataDxfId="28"/>
    <tableColumn id="10" xr3:uid="{C8B17ECE-4C29-45CB-AF8A-2D6E5CD0CCE7}" name="H3" dataDxfId="27"/>
    <tableColumn id="11" xr3:uid="{497D87E4-F510-4D49-9643-64011C61D753}" name="H4" dataDxfId="26"/>
    <tableColumn id="12" xr3:uid="{AE0FC683-3FB0-406C-967F-61491E9E3BB6}" name="H5" dataDxfId="25"/>
    <tableColumn id="13" xr3:uid="{20D70E84-5443-40E7-AC01-C6FD38A29125}" name="H6" dataDxfId="24"/>
    <tableColumn id="14" xr3:uid="{DB695345-D6F6-4DD7-A878-07CE074B6268}" name="H7" dataDxfId="23"/>
    <tableColumn id="15" xr3:uid="{F59FE593-A2FF-4860-82B4-1A0A031AE805}" name="H8" dataDxfId="22"/>
    <tableColumn id="16" xr3:uid="{57708108-BC12-49BE-8C54-61E174B9CD79}" name="H9" dataDxfId="21"/>
    <tableColumn id="17" xr3:uid="{ECC4497C-797E-4124-8994-5790132174A0}" name="H10" dataDxfId="20"/>
    <tableColumn id="18" xr3:uid="{724BA602-DF63-43E7-BEC6-FDA891E773A2}" name="H11" dataDxfId="19"/>
    <tableColumn id="19" xr3:uid="{52F59813-DECB-4C96-B26B-4ADFF82A513C}" name="H12" dataDxfId="18"/>
    <tableColumn id="20" xr3:uid="{DFE172E1-4BB0-477A-98C1-6E10FB42F41A}" name="H13" dataDxfId="17"/>
    <tableColumn id="21" xr3:uid="{7912CE75-9B88-45FB-BE1F-3F37F9D92CB3}" name="H14" dataDxfId="16"/>
    <tableColumn id="22" xr3:uid="{D6F1482E-8457-4A93-8F5B-1A8CE2CCCFC2}" name="H15" dataDxfId="15"/>
    <tableColumn id="23" xr3:uid="{F78C4A2F-3FCC-41D7-9554-D0F2920B67A1}" name="H16" dataDxfId="14"/>
    <tableColumn id="24" xr3:uid="{8DF8E8FC-0BBF-4DA7-A1EE-126D7D98ABA0}" name="H17" dataDxfId="13"/>
    <tableColumn id="25" xr3:uid="{979A84F6-0EDF-4226-9BD1-A444CE3C55BA}" name="H18" dataDxfId="12"/>
    <tableColumn id="32" xr3:uid="{C0C8562E-12F8-48E2-BDE6-01F52A67433C}" name="comment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E80881-BF39-4D4B-9DFB-0F81754C90F5}" name="Table3" displayName="Table3" ref="A100:AC163" totalsRowShown="0" headerRowDxfId="150" dataDxfId="148" headerRowBorderDxfId="149" tableBorderDxfId="147" totalsRowBorderDxfId="146">
  <autoFilter ref="A100:AC163" xr:uid="{6EE80881-BF39-4D4B-9DFB-0F81754C90F5}"/>
  <sortState xmlns:xlrd2="http://schemas.microsoft.com/office/spreadsheetml/2017/richdata2" ref="A101:AB103">
    <sortCondition ref="B100:B103"/>
  </sortState>
  <tableColumns count="29">
    <tableColumn id="1" xr3:uid="{502350BE-9927-4363-B605-D3CC654B3E23}" name="Course" dataDxfId="66"/>
    <tableColumn id="2" xr3:uid="{9FF9FF78-45CB-4B45-87C1-453CAB619536}" name="date" dataDxfId="65"/>
    <tableColumn id="33" xr3:uid="{7F42BB7C-2C43-4B0D-8105-362AAC5A87BB}" name="time" dataDxfId="64"/>
    <tableColumn id="28" xr3:uid="{DC0E101A-F7B6-42E3-983F-6F4D2033E1A9}" name="temp" dataDxfId="0"/>
    <tableColumn id="4" xr3:uid="{02DC999E-A9B0-459F-8C62-790EF2F7FEAA}" name="PAR" dataDxfId="63"/>
    <tableColumn id="5" xr3:uid="{073832EC-563E-4B3B-846C-72C29B1F8E1B}" name="Holes?" dataDxfId="62"/>
    <tableColumn id="6" xr3:uid="{DAB3A54D-58F0-46A5-8C20-AEE8F764D17C}" name="HC" dataDxfId="61"/>
    <tableColumn id="7" xr3:uid="{B88A3FF3-7B95-47DD-81A3-8E44B2EBB688}" name="TOTAL" dataDxfId="60"/>
    <tableColumn id="8" xr3:uid="{CF345C5A-1A54-4ACC-8B67-C745BCA23AAF}" name="Front" dataDxfId="59"/>
    <tableColumn id="9" xr3:uid="{CCDA9FAD-9939-4667-B3E3-6120E6FB0329}" name="Back" dataDxfId="58"/>
    <tableColumn id="10" xr3:uid="{F04524FA-21B0-42F7-A67B-C44D92C5A24A}" name="H1" dataDxfId="57"/>
    <tableColumn id="11" xr3:uid="{2938276D-168E-44C2-BC14-51D021E0A9A4}" name="H2" dataDxfId="56"/>
    <tableColumn id="12" xr3:uid="{D893FE13-882C-4CF0-B682-E7C898D3D33E}" name="H3" dataDxfId="55"/>
    <tableColumn id="13" xr3:uid="{E7A78518-179C-46A8-A1CC-C307EFD1BCDC}" name="H4" dataDxfId="54"/>
    <tableColumn id="14" xr3:uid="{F0BE5801-6E16-4FC9-91B9-69243670B1C3}" name="H5" dataDxfId="53"/>
    <tableColumn id="15" xr3:uid="{BE9C0CCB-FF4D-40BA-A342-3E75DC450BD8}" name="H6" dataDxfId="52"/>
    <tableColumn id="16" xr3:uid="{7F6835D5-86B7-456C-B2CE-5E8E87955CC9}" name="H7" dataDxfId="51"/>
    <tableColumn id="17" xr3:uid="{337B9506-C120-4155-8361-A0ECF7B73C1E}" name="H8" dataDxfId="50"/>
    <tableColumn id="18" xr3:uid="{29902632-0DEE-4112-A8C6-62A9B932CEC2}" name="H9" dataDxfId="49"/>
    <tableColumn id="19" xr3:uid="{37A66B3D-98F6-4761-9A80-8CEF6E75FCC1}" name="H10" dataDxfId="48"/>
    <tableColumn id="20" xr3:uid="{9259A53E-E1F9-4B18-80D9-42C19693ABF0}" name="H11" dataDxfId="47"/>
    <tableColumn id="21" xr3:uid="{124736F6-AD8E-449D-8913-C47B0AB3BAFB}" name="H12" dataDxfId="46"/>
    <tableColumn id="22" xr3:uid="{616324DC-FDEF-466F-8E4C-05F8DAE65280}" name="H13" dataDxfId="45"/>
    <tableColumn id="23" xr3:uid="{D3678F31-6D42-4BE8-8FC2-0F5EADE80E6E}" name="H14" dataDxfId="44"/>
    <tableColumn id="24" xr3:uid="{87B27782-A2C3-4435-9201-7C60969C6A1D}" name="H15" dataDxfId="43"/>
    <tableColumn id="25" xr3:uid="{62512603-B298-42E8-BA18-A908760ECB2F}" name="H16" dataDxfId="42"/>
    <tableColumn id="26" xr3:uid="{A6C19A34-DA16-4512-81F0-44DBFB8B5AB7}" name="H17" dataDxfId="41"/>
    <tableColumn id="27" xr3:uid="{0ED8B915-C83F-4649-89C3-507CBBB32B24}" name="H18" dataDxfId="40"/>
    <tableColumn id="32" xr3:uid="{2182C2F8-B256-4529-BC46-3AF3255F7E6D}" name="comments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D3D690-7E63-814F-9CE0-F1D778564050}" name="Table38" displayName="Table38" ref="A22:I82" totalsRowShown="0" headerRowDxfId="145" dataDxfId="143" headerRowBorderDxfId="144" tableBorderDxfId="142" totalsRowBorderDxfId="141">
  <autoFilter ref="A22:I82" xr:uid="{6EE80881-BF39-4D4B-9DFB-0F81754C90F5}"/>
  <sortState xmlns:xlrd2="http://schemas.microsoft.com/office/spreadsheetml/2017/richdata2" ref="A23:I80">
    <sortCondition ref="B22:B80"/>
  </sortState>
  <tableColumns count="9">
    <tableColumn id="1" xr3:uid="{790D51E9-904E-9D4A-BF9B-67ABAE1FE13D}" name="Course" dataDxfId="140"/>
    <tableColumn id="2" xr3:uid="{A57B8ADA-CF3D-5A4B-BE55-E12A72194E21}" name="DATE" dataDxfId="139"/>
    <tableColumn id="9" xr3:uid="{29A464A5-E322-4DA6-9ACC-70FE2C2BBDD8}" name="Difficulty" dataDxfId="138"/>
    <tableColumn id="3" xr3:uid="{CFDC3B37-92DB-5F41-A109-E57B0538D167}" name="Condition" dataDxfId="137"/>
    <tableColumn id="4" xr3:uid="{1242E4F8-7A5D-6248-B021-203F19624BC2}" name="Pace" dataDxfId="136"/>
    <tableColumn id="5" xr3:uid="{D457685C-588F-8442-87CC-5B877F9BA48C}" name="Cost" dataDxfId="135"/>
    <tableColumn id="6" xr3:uid="{986EAB5A-D9AE-4643-A1B4-96793C1D648F}" name="location" dataDxfId="134"/>
    <tableColumn id="7" xr3:uid="{A1F57362-94DA-B345-AC6C-2506D28B16C6}" name="People " dataDxfId="133"/>
    <tableColumn id="8" xr3:uid="{C01BA6B4-E813-D843-BA23-C2A0C4F9E261}" name="Range" dataDxfId="1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0EE5EA-B3F1-47A8-B424-2EE650E906FC}" name="Table4" displayName="Table4" ref="A3:H104" totalsRowShown="0" headerRowBorderDxfId="95" tableBorderDxfId="94">
  <autoFilter ref="A3:H104" xr:uid="{560EE5EA-B3F1-47A8-B424-2EE650E906FC}"/>
  <sortState xmlns:xlrd2="http://schemas.microsoft.com/office/spreadsheetml/2017/richdata2" ref="A4:H104">
    <sortCondition descending="1" ref="A3:A104"/>
  </sortState>
  <tableColumns count="8">
    <tableColumn id="1" xr3:uid="{E2D8D83C-0D5F-4CBC-91D9-ECD271F4F9E1}" name="DATE" dataDxfId="93"/>
    <tableColumn id="2" xr3:uid="{F3E42723-77B2-4CD1-97A6-3921B6BB1457}" name="Sim Type" dataDxfId="92"/>
    <tableColumn id="3" xr3:uid="{680670EF-8A00-47CA-9948-9D56E8DF130A}" name="Location" dataDxfId="91"/>
    <tableColumn id="4" xr3:uid="{75B2B3B3-E9E0-4777-884C-0992B98A63EC}" name="Indoor / Outdoor" dataDxfId="90"/>
    <tableColumn id="5" xr3:uid="{7817F324-550C-4861-B62B-F17CD98797F3}" name="Shot Count" dataDxfId="89"/>
    <tableColumn id="8" xr3:uid="{72EF9ABA-352D-4E3C-AC2D-C8E037F99EBB}" name="Type" dataDxfId="88"/>
    <tableColumn id="7" xr3:uid="{54098D4E-FCAA-4295-A9E3-F68F1BCE8FC9}" name="Name" dataDxfId="87"/>
    <tableColumn id="6" xr3:uid="{BBA9C0E5-D735-40E3-B6B9-579A17EF19C0}" name="Notes" dataDxfId="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154052-9F07-4CF5-8FCB-82EBD7D52950}" name="Table6" displayName="Table6" ref="A1:AA2" totalsRowShown="0">
  <autoFilter ref="A1:AA2" xr:uid="{3A154052-9F07-4CF5-8FCB-82EBD7D52950}"/>
  <tableColumns count="27">
    <tableColumn id="1" xr3:uid="{5C59A72B-B0BF-4794-B5D1-887FDB58C85A}" name="Date" dataDxfId="85"/>
    <tableColumn id="2" xr3:uid="{722CAEA7-0F21-4710-B839-A1429DFAA843}" name="Course"/>
    <tableColumn id="3" xr3:uid="{05E424FA-39A7-46D0-B206-13DBFEFF39D8}" name="Layout"/>
    <tableColumn id="4" xr3:uid="{3994BD36-97E2-4357-8168-38FE151009AA}" name="Tee"/>
    <tableColumn id="5" xr3:uid="{FB51AF8E-DC92-4B8C-A6C5-6F5339FA4938}" name="Yardage"/>
    <tableColumn id="6" xr3:uid="{ACCE4486-2960-46CE-8D88-7BEA5D6B5B60}" name="H1"/>
    <tableColumn id="7" xr3:uid="{97C96CF1-D3FE-455C-993D-A689C52A3E42}" name="H2"/>
    <tableColumn id="8" xr3:uid="{D8F91AA0-D7C5-435E-B2CA-B8581DF0612D}" name="H3"/>
    <tableColumn id="9" xr3:uid="{0B796518-BD49-4868-B2DB-A2D57094CE27}" name="H4"/>
    <tableColumn id="10" xr3:uid="{B69B0A56-F94A-4973-9071-4A42E1AD7670}" name="H5"/>
    <tableColumn id="11" xr3:uid="{A969857C-723C-4B86-9D9F-16B8D71603BB}" name="H6"/>
    <tableColumn id="12" xr3:uid="{8B18CAC2-0F8F-4D92-A690-ED69978E26BC}" name="H7"/>
    <tableColumn id="13" xr3:uid="{99645AF4-355C-4122-9B7D-D181B529FB1A}" name="H8"/>
    <tableColumn id="14" xr3:uid="{2595126E-EDDB-4778-9787-C059E27F26F5}" name="H9"/>
    <tableColumn id="15" xr3:uid="{8FE5BCD4-B162-4F86-AA0F-03397592749F}" name="H10"/>
    <tableColumn id="16" xr3:uid="{1E7494D2-6F53-4E61-BE03-D32D4B97247D}" name="H11"/>
    <tableColumn id="17" xr3:uid="{29A0AAE7-4407-48F2-9428-B908F1C68565}" name="H12"/>
    <tableColumn id="18" xr3:uid="{6047880C-5CCE-4910-BF71-9EBD8BD33B77}" name="H13"/>
    <tableColumn id="19" xr3:uid="{0BD9823F-0028-4077-B128-21D0C6685477}" name="H14"/>
    <tableColumn id="20" xr3:uid="{17EE13BA-1C0D-41F3-B25F-ADFDABB046A9}" name="H15"/>
    <tableColumn id="21" xr3:uid="{20735239-7503-4AFB-A01C-B51767F40133}" name="H16"/>
    <tableColumn id="22" xr3:uid="{8BCA64BC-7CE7-486C-AC1F-038031574CBA}" name="H17"/>
    <tableColumn id="23" xr3:uid="{36619E17-CC22-45C8-9054-738921D08127}" name="H18"/>
    <tableColumn id="24" xr3:uid="{44BBD398-E12F-41F9-8B32-BCFF747962AE}" name="Front9"/>
    <tableColumn id="25" xr3:uid="{1EE3774A-0BDF-4260-9E94-4D156F560A73}" name="Back9"/>
    <tableColumn id="26" xr3:uid="{AA3E90AC-8B59-40C5-8F99-479C8C3F7F68}" name="Gross"/>
    <tableColumn id="27" xr3:uid="{0725C33B-8F13-4459-B47B-33FD31E65C9C}" name="ToP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398933-6834-4732-976A-FC487EC96483}" name="Table5" displayName="Table5" ref="A1:M180" totalsRowShown="0" headerRowDxfId="84" dataDxfId="82" headerRowBorderDxfId="83" tableBorderDxfId="81" totalsRowBorderDxfId="80">
  <autoFilter ref="A1:M180" xr:uid="{3E398933-6834-4732-976A-FC487EC96483}"/>
  <tableColumns count="13">
    <tableColumn id="1" xr3:uid="{2F98A8B5-1265-4A01-BA75-64F09980F9A4}" name="Date" dataDxfId="79"/>
    <tableColumn id="2" xr3:uid="{1BD19A8E-9BF0-45A8-BDAC-7D9AEA85C2AC}" name="Club" dataDxfId="78"/>
    <tableColumn id="3" xr3:uid="{82AB834F-4DF0-4859-B7A6-C32224E86DF7}" name="Club Name" dataDxfId="77"/>
    <tableColumn id="4" xr3:uid="{81FCFB18-536E-4D08-BCE4-D164B1F8AF3D}" name="Shot #" dataDxfId="76"/>
    <tableColumn id="5" xr3:uid="{6F550894-4301-4ECD-9448-DA6F4A265C91}" name="Club Speed (mph)" dataDxfId="75"/>
    <tableColumn id="6" xr3:uid="{F7092B06-2262-42A4-99A0-7225E4E0849C}" name="Attack Angle (deg)" dataDxfId="74"/>
    <tableColumn id="7" xr3:uid="{920D8BAF-2DE7-4151-A953-F7C4AEE3032E}" name="Ball Speed (mph)" dataDxfId="73"/>
    <tableColumn id="8" xr3:uid="{1A86F2F2-3B24-4635-A428-63F203190D59}" name="Spin Rate (rpm)" dataDxfId="72"/>
    <tableColumn id="9" xr3:uid="{0D9184BA-6A15-4C66-AE0B-FC171E8F5D30}" name="Carry (yds)" dataDxfId="71"/>
    <tableColumn id="10" xr3:uid="{A4604A68-7CF3-4329-B77F-A25DBD5BEBC9}" name="Side (ft)" dataDxfId="70"/>
    <tableColumn id="11" xr3:uid="{E7BE4C96-5C54-4612-895E-81F53BEB13B9}" name="Side Dir" dataDxfId="69"/>
    <tableColumn id="12" xr3:uid="{CCF9BA1C-34CA-4A25-8C26-8350C359AAA8}" name="Low Point (in)" dataDxfId="68"/>
    <tableColumn id="13" xr3:uid="{2578C0EC-49B2-4C93-B044-C8C32F144989}" name="Smash" dataDxfId="67">
      <calculatedColumnFormula>IF(E2="","",G2/E2)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B0EB-F297-6D42-B1DA-2DA48B8656FB}">
  <dimension ref="A1:AC172"/>
  <sheetViews>
    <sheetView showGridLines="0" tabSelected="1" topLeftCell="B136" zoomScaleNormal="100" zoomScaleSheetLayoutView="100" workbookViewId="0">
      <selection activeCell="A134" sqref="A134:AC163"/>
    </sheetView>
  </sheetViews>
  <sheetFormatPr defaultRowHeight="15" x14ac:dyDescent="0.25"/>
  <cols>
    <col min="1" max="1" width="29.5703125" customWidth="1"/>
    <col min="2" max="2" width="11.28515625" bestFit="1" customWidth="1"/>
    <col min="3" max="3" width="10.5703125" customWidth="1"/>
    <col min="4" max="4" width="10.42578125" style="1" customWidth="1"/>
    <col min="5" max="6" width="8.42578125" bestFit="1" customWidth="1"/>
    <col min="7" max="8" width="8.42578125" style="2" bestFit="1" customWidth="1"/>
    <col min="9" max="13" width="8.42578125" bestFit="1" customWidth="1"/>
    <col min="14" max="22" width="9.5703125" bestFit="1" customWidth="1"/>
    <col min="23" max="26" width="6.5703125" bestFit="1" customWidth="1"/>
    <col min="29" max="29" width="13.42578125" customWidth="1"/>
    <col min="32" max="32" width="87.28515625" bestFit="1" customWidth="1"/>
  </cols>
  <sheetData>
    <row r="1" spans="1:26" x14ac:dyDescent="0.25">
      <c r="A1" s="3" t="s">
        <v>2</v>
      </c>
      <c r="B1" s="7" t="s">
        <v>22</v>
      </c>
      <c r="C1" s="7" t="s">
        <v>0</v>
      </c>
      <c r="D1" s="4" t="s">
        <v>1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Z1" t="s">
        <v>82</v>
      </c>
    </row>
    <row r="2" spans="1:26" x14ac:dyDescent="0.25">
      <c r="A2" s="3" t="s">
        <v>3</v>
      </c>
      <c r="B2" s="4">
        <f>D2+C2</f>
        <v>72</v>
      </c>
      <c r="C2" s="7">
        <f>SUM(E2:M2)</f>
        <v>36</v>
      </c>
      <c r="D2" s="4">
        <f>SUM(N2:V2)</f>
        <v>36</v>
      </c>
      <c r="E2" s="7">
        <v>4</v>
      </c>
      <c r="F2" s="7">
        <v>4</v>
      </c>
      <c r="G2" s="7">
        <v>5</v>
      </c>
      <c r="H2" s="7">
        <v>3</v>
      </c>
      <c r="I2" s="7">
        <v>4</v>
      </c>
      <c r="J2" s="7">
        <v>5</v>
      </c>
      <c r="K2" s="7">
        <v>3</v>
      </c>
      <c r="L2" s="7">
        <v>4</v>
      </c>
      <c r="M2" s="7">
        <v>4</v>
      </c>
      <c r="N2" s="7">
        <v>4</v>
      </c>
      <c r="O2" s="7">
        <v>4</v>
      </c>
      <c r="P2" s="7">
        <v>3</v>
      </c>
      <c r="Q2" s="7">
        <v>4</v>
      </c>
      <c r="R2" s="7">
        <v>3</v>
      </c>
      <c r="S2" s="7">
        <v>4</v>
      </c>
      <c r="T2" s="7">
        <v>5</v>
      </c>
      <c r="U2" s="7">
        <v>4</v>
      </c>
      <c r="V2" s="7">
        <v>5</v>
      </c>
      <c r="Z2" t="s">
        <v>83</v>
      </c>
    </row>
    <row r="3" spans="1:26" x14ac:dyDescent="0.25">
      <c r="A3" s="3" t="s">
        <v>30</v>
      </c>
      <c r="B3" s="4">
        <f t="shared" ref="B3:B15" si="0">D3+C3</f>
        <v>72</v>
      </c>
      <c r="C3" s="7">
        <f t="shared" ref="C3:C15" si="1">SUM(E3:M3)</f>
        <v>36</v>
      </c>
      <c r="D3" s="4">
        <f t="shared" ref="D3:D15" si="2">SUM(N3:V3)</f>
        <v>36</v>
      </c>
      <c r="E3" s="7">
        <v>5</v>
      </c>
      <c r="F3" s="7">
        <v>4</v>
      </c>
      <c r="G3" s="7">
        <v>3</v>
      </c>
      <c r="H3" s="7">
        <v>4</v>
      </c>
      <c r="I3" s="7">
        <v>5</v>
      </c>
      <c r="J3" s="7">
        <v>3</v>
      </c>
      <c r="K3" s="7">
        <v>4</v>
      </c>
      <c r="L3" s="7">
        <v>4</v>
      </c>
      <c r="M3" s="7">
        <v>4</v>
      </c>
      <c r="N3" s="7">
        <v>4</v>
      </c>
      <c r="O3" s="7">
        <v>5</v>
      </c>
      <c r="P3" s="7">
        <v>4</v>
      </c>
      <c r="Q3" s="7">
        <v>3</v>
      </c>
      <c r="R3" s="7">
        <v>5</v>
      </c>
      <c r="S3" s="7">
        <v>3</v>
      </c>
      <c r="T3" s="7">
        <v>4</v>
      </c>
      <c r="U3" s="7">
        <v>4</v>
      </c>
      <c r="V3" s="7">
        <v>4</v>
      </c>
      <c r="Z3" t="s">
        <v>89</v>
      </c>
    </row>
    <row r="4" spans="1:26" x14ac:dyDescent="0.25">
      <c r="A4" s="3" t="s">
        <v>31</v>
      </c>
      <c r="B4" s="4">
        <f t="shared" si="0"/>
        <v>70</v>
      </c>
      <c r="C4" s="7">
        <f t="shared" si="1"/>
        <v>35</v>
      </c>
      <c r="D4" s="4">
        <f t="shared" si="2"/>
        <v>35</v>
      </c>
      <c r="E4" s="7">
        <v>4</v>
      </c>
      <c r="F4" s="7">
        <v>4</v>
      </c>
      <c r="G4" s="7">
        <v>4</v>
      </c>
      <c r="H4" s="7">
        <v>3</v>
      </c>
      <c r="I4" s="7">
        <v>5</v>
      </c>
      <c r="J4" s="7">
        <v>4</v>
      </c>
      <c r="K4" s="7">
        <v>4</v>
      </c>
      <c r="L4" s="7">
        <v>3</v>
      </c>
      <c r="M4" s="7">
        <v>4</v>
      </c>
      <c r="N4" s="7">
        <v>4</v>
      </c>
      <c r="O4" s="7">
        <v>4</v>
      </c>
      <c r="P4" s="7">
        <v>3</v>
      </c>
      <c r="Q4" s="7">
        <v>4</v>
      </c>
      <c r="R4" s="7">
        <v>4</v>
      </c>
      <c r="S4" s="7">
        <v>5</v>
      </c>
      <c r="T4" s="7">
        <v>3</v>
      </c>
      <c r="U4" s="7">
        <v>4</v>
      </c>
      <c r="V4" s="7">
        <v>4</v>
      </c>
      <c r="Z4" t="s">
        <v>88</v>
      </c>
    </row>
    <row r="5" spans="1:26" x14ac:dyDescent="0.25">
      <c r="A5" s="3" t="s">
        <v>53</v>
      </c>
      <c r="B5" s="4">
        <f t="shared" si="0"/>
        <v>71</v>
      </c>
      <c r="C5" s="7">
        <f t="shared" si="1"/>
        <v>36</v>
      </c>
      <c r="D5" s="4">
        <f t="shared" si="2"/>
        <v>35</v>
      </c>
      <c r="E5" s="7">
        <v>4</v>
      </c>
      <c r="F5" s="7">
        <v>4</v>
      </c>
      <c r="G5" s="7">
        <v>5</v>
      </c>
      <c r="H5" s="7">
        <v>4</v>
      </c>
      <c r="I5" s="7">
        <v>3</v>
      </c>
      <c r="J5" s="7">
        <v>4</v>
      </c>
      <c r="K5" s="7">
        <v>4</v>
      </c>
      <c r="L5" s="7">
        <v>3</v>
      </c>
      <c r="M5" s="7">
        <v>5</v>
      </c>
      <c r="N5" s="7">
        <v>4</v>
      </c>
      <c r="O5" s="7">
        <v>3</v>
      </c>
      <c r="P5" s="7">
        <v>4</v>
      </c>
      <c r="Q5" s="7">
        <v>4</v>
      </c>
      <c r="R5" s="7">
        <v>3</v>
      </c>
      <c r="S5" s="7">
        <v>4</v>
      </c>
      <c r="T5" s="7">
        <v>4</v>
      </c>
      <c r="U5" s="7">
        <v>5</v>
      </c>
      <c r="V5" s="7">
        <v>4</v>
      </c>
    </row>
    <row r="6" spans="1:26" x14ac:dyDescent="0.25">
      <c r="A6" s="3" t="s">
        <v>56</v>
      </c>
      <c r="B6" s="4">
        <f t="shared" si="0"/>
        <v>72</v>
      </c>
      <c r="C6" s="7">
        <f t="shared" si="1"/>
        <v>36</v>
      </c>
      <c r="D6" s="4">
        <f t="shared" si="2"/>
        <v>36</v>
      </c>
      <c r="E6" s="7">
        <v>4</v>
      </c>
      <c r="F6" s="7">
        <v>3</v>
      </c>
      <c r="G6" s="7">
        <v>5</v>
      </c>
      <c r="H6" s="7">
        <v>4</v>
      </c>
      <c r="I6" s="7">
        <v>5</v>
      </c>
      <c r="J6" s="7">
        <v>4</v>
      </c>
      <c r="K6" s="7">
        <v>4</v>
      </c>
      <c r="L6" s="7">
        <v>3</v>
      </c>
      <c r="M6" s="7">
        <v>4</v>
      </c>
      <c r="N6" s="7">
        <v>4</v>
      </c>
      <c r="O6" s="7">
        <v>4</v>
      </c>
      <c r="P6" s="7">
        <v>4</v>
      </c>
      <c r="Q6" s="7">
        <v>4</v>
      </c>
      <c r="R6" s="7">
        <v>5</v>
      </c>
      <c r="S6" s="7">
        <v>3</v>
      </c>
      <c r="T6" s="7">
        <v>4</v>
      </c>
      <c r="U6" s="7">
        <v>3</v>
      </c>
      <c r="V6" s="7">
        <v>5</v>
      </c>
    </row>
    <row r="7" spans="1:26" x14ac:dyDescent="0.25">
      <c r="A7" s="3" t="s">
        <v>57</v>
      </c>
      <c r="B7" s="4">
        <f t="shared" si="0"/>
        <v>72</v>
      </c>
      <c r="C7" s="7">
        <f t="shared" si="1"/>
        <v>36</v>
      </c>
      <c r="D7" s="4">
        <f t="shared" si="2"/>
        <v>36</v>
      </c>
      <c r="E7" s="7">
        <v>4</v>
      </c>
      <c r="F7" s="7">
        <v>5</v>
      </c>
      <c r="G7" s="7">
        <v>4</v>
      </c>
      <c r="H7" s="7">
        <v>4</v>
      </c>
      <c r="I7" s="7">
        <v>3</v>
      </c>
      <c r="J7" s="7">
        <v>5</v>
      </c>
      <c r="K7" s="7">
        <v>3</v>
      </c>
      <c r="L7" s="7">
        <v>4</v>
      </c>
      <c r="M7" s="7">
        <v>4</v>
      </c>
      <c r="N7" s="7">
        <v>5</v>
      </c>
      <c r="O7" s="7">
        <v>4</v>
      </c>
      <c r="P7" s="7">
        <v>3</v>
      </c>
      <c r="Q7" s="7">
        <v>4</v>
      </c>
      <c r="R7" s="7">
        <v>4</v>
      </c>
      <c r="S7" s="7">
        <v>4</v>
      </c>
      <c r="T7" s="7">
        <v>5</v>
      </c>
      <c r="U7" s="7">
        <v>3</v>
      </c>
      <c r="V7" s="7">
        <v>4</v>
      </c>
    </row>
    <row r="8" spans="1:26" x14ac:dyDescent="0.25">
      <c r="A8" s="3" t="s">
        <v>150</v>
      </c>
      <c r="B8" s="4">
        <f t="shared" si="0"/>
        <v>71</v>
      </c>
      <c r="C8" s="7">
        <f t="shared" si="1"/>
        <v>35</v>
      </c>
      <c r="D8" s="4">
        <f t="shared" si="2"/>
        <v>36</v>
      </c>
      <c r="E8" s="7">
        <v>4</v>
      </c>
      <c r="F8" s="7">
        <v>4</v>
      </c>
      <c r="G8" s="7">
        <v>5</v>
      </c>
      <c r="H8" s="7">
        <v>3</v>
      </c>
      <c r="I8" s="7">
        <v>4</v>
      </c>
      <c r="J8" s="7">
        <v>4</v>
      </c>
      <c r="K8" s="7">
        <v>4</v>
      </c>
      <c r="L8" s="7">
        <v>3</v>
      </c>
      <c r="M8" s="7">
        <v>4</v>
      </c>
      <c r="N8" s="7">
        <v>4</v>
      </c>
      <c r="O8" s="7">
        <v>4</v>
      </c>
      <c r="P8" s="7">
        <v>3</v>
      </c>
      <c r="Q8" s="7">
        <v>4</v>
      </c>
      <c r="R8" s="7">
        <v>5</v>
      </c>
      <c r="S8" s="7">
        <v>4</v>
      </c>
      <c r="T8" s="7">
        <v>5</v>
      </c>
      <c r="U8" s="7">
        <v>3</v>
      </c>
      <c r="V8" s="7">
        <v>4</v>
      </c>
    </row>
    <row r="9" spans="1:26" x14ac:dyDescent="0.25">
      <c r="A9" s="3" t="s">
        <v>28</v>
      </c>
      <c r="B9" s="4">
        <f t="shared" si="0"/>
        <v>72</v>
      </c>
      <c r="C9" s="7">
        <f t="shared" si="1"/>
        <v>36</v>
      </c>
      <c r="D9" s="4">
        <f t="shared" si="2"/>
        <v>36</v>
      </c>
      <c r="E9" s="7">
        <v>4</v>
      </c>
      <c r="F9" s="7">
        <v>4</v>
      </c>
      <c r="G9" s="7">
        <v>4</v>
      </c>
      <c r="H9" s="7">
        <v>5</v>
      </c>
      <c r="I9" s="7">
        <v>3</v>
      </c>
      <c r="J9" s="7">
        <v>4</v>
      </c>
      <c r="K9" s="7">
        <v>3</v>
      </c>
      <c r="L9" s="7">
        <v>5</v>
      </c>
      <c r="M9" s="7">
        <v>4</v>
      </c>
      <c r="N9" s="7">
        <v>5</v>
      </c>
      <c r="O9" s="7">
        <v>4</v>
      </c>
      <c r="P9" s="7">
        <v>4</v>
      </c>
      <c r="Q9" s="7">
        <v>3</v>
      </c>
      <c r="R9" s="7">
        <v>4</v>
      </c>
      <c r="S9" s="7">
        <v>4</v>
      </c>
      <c r="T9" s="7">
        <v>5</v>
      </c>
      <c r="U9" s="7">
        <v>3</v>
      </c>
      <c r="V9" s="7">
        <v>4</v>
      </c>
    </row>
    <row r="10" spans="1:26" x14ac:dyDescent="0.25">
      <c r="A10" s="66" t="s">
        <v>191</v>
      </c>
      <c r="B10" s="4">
        <f t="shared" si="0"/>
        <v>72</v>
      </c>
      <c r="C10" s="7">
        <f t="shared" si="1"/>
        <v>36</v>
      </c>
      <c r="D10" s="4">
        <f t="shared" si="2"/>
        <v>36</v>
      </c>
      <c r="E10" s="7">
        <v>5</v>
      </c>
      <c r="F10" s="7">
        <v>4</v>
      </c>
      <c r="G10" s="7">
        <v>3</v>
      </c>
      <c r="H10" s="7">
        <v>4</v>
      </c>
      <c r="I10" s="7">
        <v>4</v>
      </c>
      <c r="J10" s="7">
        <v>5</v>
      </c>
      <c r="K10" s="7">
        <v>3</v>
      </c>
      <c r="L10" s="7">
        <v>4</v>
      </c>
      <c r="M10" s="7">
        <v>4</v>
      </c>
      <c r="N10" s="7">
        <v>4</v>
      </c>
      <c r="O10" s="7">
        <v>3</v>
      </c>
      <c r="P10" s="7">
        <v>4</v>
      </c>
      <c r="Q10" s="7">
        <v>5</v>
      </c>
      <c r="R10" s="7">
        <v>4</v>
      </c>
      <c r="S10" s="7">
        <v>3</v>
      </c>
      <c r="T10" s="7">
        <v>5</v>
      </c>
      <c r="U10" s="7">
        <v>4</v>
      </c>
      <c r="V10" s="7">
        <v>4</v>
      </c>
    </row>
    <row r="11" spans="1:26" x14ac:dyDescent="0.25">
      <c r="A11" s="3" t="s">
        <v>182</v>
      </c>
      <c r="B11" s="4">
        <f t="shared" si="0"/>
        <v>37</v>
      </c>
      <c r="C11" s="7">
        <f t="shared" si="1"/>
        <v>37</v>
      </c>
      <c r="D11" s="4">
        <f t="shared" si="2"/>
        <v>0</v>
      </c>
      <c r="E11" s="7">
        <v>5</v>
      </c>
      <c r="F11" s="7">
        <v>4</v>
      </c>
      <c r="G11" s="7">
        <v>3</v>
      </c>
      <c r="H11" s="7">
        <v>4</v>
      </c>
      <c r="I11" s="7">
        <v>4</v>
      </c>
      <c r="J11" s="7">
        <v>3</v>
      </c>
      <c r="K11" s="7">
        <v>4</v>
      </c>
      <c r="L11" s="7">
        <v>5</v>
      </c>
      <c r="M11" s="7">
        <v>5</v>
      </c>
      <c r="N11" s="7" t="s">
        <v>183</v>
      </c>
      <c r="O11" s="7" t="s">
        <v>183</v>
      </c>
      <c r="P11" s="7" t="s">
        <v>183</v>
      </c>
      <c r="Q11" s="7" t="s">
        <v>183</v>
      </c>
      <c r="R11" s="7" t="s">
        <v>183</v>
      </c>
      <c r="S11" s="7" t="s">
        <v>183</v>
      </c>
      <c r="T11" s="7" t="s">
        <v>183</v>
      </c>
      <c r="U11" s="7" t="s">
        <v>183</v>
      </c>
      <c r="V11" s="7" t="s">
        <v>183</v>
      </c>
    </row>
    <row r="12" spans="1:26" x14ac:dyDescent="0.25">
      <c r="A12" s="3" t="s">
        <v>184</v>
      </c>
      <c r="B12" s="4">
        <f t="shared" si="0"/>
        <v>36</v>
      </c>
      <c r="C12" s="7">
        <f t="shared" si="1"/>
        <v>36</v>
      </c>
      <c r="D12" s="4">
        <f t="shared" si="2"/>
        <v>0</v>
      </c>
      <c r="E12" s="7">
        <v>4</v>
      </c>
      <c r="F12" s="7">
        <v>3</v>
      </c>
      <c r="G12" s="7">
        <v>4</v>
      </c>
      <c r="H12" s="7">
        <v>4</v>
      </c>
      <c r="I12" s="7">
        <v>3</v>
      </c>
      <c r="J12" s="7">
        <v>4</v>
      </c>
      <c r="K12" s="7">
        <v>5</v>
      </c>
      <c r="L12" s="7">
        <v>5</v>
      </c>
      <c r="M12" s="7">
        <v>4</v>
      </c>
      <c r="N12" s="7" t="s">
        <v>183</v>
      </c>
      <c r="O12" s="7" t="s">
        <v>183</v>
      </c>
      <c r="P12" s="7" t="s">
        <v>183</v>
      </c>
      <c r="Q12" s="7" t="s">
        <v>183</v>
      </c>
      <c r="R12" s="7" t="s">
        <v>183</v>
      </c>
      <c r="S12" s="7" t="s">
        <v>183</v>
      </c>
      <c r="T12" s="7" t="s">
        <v>183</v>
      </c>
      <c r="U12" s="7" t="s">
        <v>183</v>
      </c>
      <c r="V12" s="7" t="s">
        <v>183</v>
      </c>
    </row>
    <row r="13" spans="1:26" x14ac:dyDescent="0.25">
      <c r="A13" s="3" t="s">
        <v>185</v>
      </c>
      <c r="B13" s="4">
        <f t="shared" si="0"/>
        <v>36</v>
      </c>
      <c r="C13" s="7">
        <f t="shared" si="1"/>
        <v>36</v>
      </c>
      <c r="D13" s="4">
        <f t="shared" si="2"/>
        <v>0</v>
      </c>
      <c r="E13" s="7">
        <v>5</v>
      </c>
      <c r="F13" s="7">
        <v>4</v>
      </c>
      <c r="G13" s="7">
        <v>4</v>
      </c>
      <c r="H13" s="7">
        <v>4</v>
      </c>
      <c r="I13" s="7">
        <v>3</v>
      </c>
      <c r="J13" s="7">
        <v>4</v>
      </c>
      <c r="K13" s="7">
        <v>3</v>
      </c>
      <c r="L13" s="7">
        <v>4</v>
      </c>
      <c r="M13" s="7">
        <v>5</v>
      </c>
      <c r="N13" s="7" t="s">
        <v>183</v>
      </c>
      <c r="O13" s="7" t="s">
        <v>183</v>
      </c>
      <c r="P13" s="7" t="s">
        <v>183</v>
      </c>
      <c r="Q13" s="7" t="s">
        <v>183</v>
      </c>
      <c r="R13" s="7" t="s">
        <v>183</v>
      </c>
      <c r="S13" s="7" t="s">
        <v>183</v>
      </c>
      <c r="T13" s="7" t="s">
        <v>183</v>
      </c>
      <c r="U13" s="7" t="s">
        <v>183</v>
      </c>
      <c r="V13" s="7" t="s">
        <v>183</v>
      </c>
    </row>
    <row r="14" spans="1:26" x14ac:dyDescent="0.25">
      <c r="A14" s="3" t="s">
        <v>181</v>
      </c>
      <c r="B14" s="4">
        <f t="shared" si="0"/>
        <v>73</v>
      </c>
      <c r="C14" s="7">
        <f t="shared" si="1"/>
        <v>37</v>
      </c>
      <c r="D14" s="4">
        <f t="shared" si="2"/>
        <v>36</v>
      </c>
      <c r="E14" s="7">
        <v>5</v>
      </c>
      <c r="F14" s="7">
        <v>4</v>
      </c>
      <c r="G14" s="7">
        <v>3</v>
      </c>
      <c r="H14" s="7">
        <v>4</v>
      </c>
      <c r="I14" s="7">
        <v>4</v>
      </c>
      <c r="J14" s="7">
        <v>3</v>
      </c>
      <c r="K14" s="7">
        <v>4</v>
      </c>
      <c r="L14" s="7">
        <v>5</v>
      </c>
      <c r="M14" s="7">
        <v>5</v>
      </c>
      <c r="N14" s="7">
        <v>4</v>
      </c>
      <c r="O14" s="7">
        <v>3</v>
      </c>
      <c r="P14" s="7">
        <v>4</v>
      </c>
      <c r="Q14" s="7">
        <v>4</v>
      </c>
      <c r="R14" s="7">
        <v>3</v>
      </c>
      <c r="S14" s="7">
        <v>4</v>
      </c>
      <c r="T14" s="7">
        <v>5</v>
      </c>
      <c r="U14" s="7">
        <v>5</v>
      </c>
      <c r="V14" s="7">
        <v>4</v>
      </c>
    </row>
    <row r="15" spans="1:26" x14ac:dyDescent="0.25">
      <c r="A15" s="3" t="s">
        <v>158</v>
      </c>
      <c r="B15" s="4">
        <f t="shared" si="0"/>
        <v>73</v>
      </c>
      <c r="C15" s="7">
        <f t="shared" si="1"/>
        <v>36</v>
      </c>
      <c r="D15" s="4">
        <f t="shared" si="2"/>
        <v>37</v>
      </c>
      <c r="E15" s="7">
        <v>5</v>
      </c>
      <c r="F15" s="7">
        <v>4</v>
      </c>
      <c r="G15" s="7">
        <v>4</v>
      </c>
      <c r="H15" s="7">
        <v>4</v>
      </c>
      <c r="I15" s="7">
        <v>3</v>
      </c>
      <c r="J15" s="7">
        <v>4</v>
      </c>
      <c r="K15" s="7">
        <v>3</v>
      </c>
      <c r="L15" s="7">
        <v>4</v>
      </c>
      <c r="M15" s="7">
        <v>5</v>
      </c>
      <c r="N15" s="7">
        <v>5</v>
      </c>
      <c r="O15" s="7">
        <v>4</v>
      </c>
      <c r="P15" s="7">
        <v>3</v>
      </c>
      <c r="Q15" s="7">
        <v>4</v>
      </c>
      <c r="R15" s="7">
        <v>4</v>
      </c>
      <c r="S15" s="7">
        <v>3</v>
      </c>
      <c r="T15" s="7">
        <v>4</v>
      </c>
      <c r="U15" s="7">
        <v>5</v>
      </c>
      <c r="V15" s="7">
        <v>5</v>
      </c>
    </row>
    <row r="16" spans="1:26" x14ac:dyDescent="0.25">
      <c r="A16" s="3" t="s">
        <v>186</v>
      </c>
      <c r="B16" s="4">
        <f t="shared" ref="B16" si="3">D16+C16</f>
        <v>72</v>
      </c>
      <c r="C16" s="7">
        <f t="shared" ref="C16" si="4">SUM(E16:M16)</f>
        <v>36</v>
      </c>
      <c r="D16" s="4">
        <f t="shared" ref="D16" si="5">SUM(N16:V16)</f>
        <v>36</v>
      </c>
      <c r="E16" s="7">
        <v>5</v>
      </c>
      <c r="F16" s="7">
        <v>4</v>
      </c>
      <c r="G16" s="7">
        <v>4</v>
      </c>
      <c r="H16" s="7">
        <v>4</v>
      </c>
      <c r="I16" s="7">
        <v>3</v>
      </c>
      <c r="J16" s="7">
        <v>4</v>
      </c>
      <c r="K16" s="7">
        <v>3</v>
      </c>
      <c r="L16" s="7">
        <v>4</v>
      </c>
      <c r="M16" s="7">
        <v>5</v>
      </c>
      <c r="N16" s="7">
        <v>4</v>
      </c>
      <c r="O16" s="7">
        <v>3</v>
      </c>
      <c r="P16" s="7">
        <v>4</v>
      </c>
      <c r="Q16" s="7">
        <v>4</v>
      </c>
      <c r="R16" s="7">
        <v>3</v>
      </c>
      <c r="S16" s="7">
        <v>4</v>
      </c>
      <c r="T16" s="7">
        <v>5</v>
      </c>
      <c r="U16" s="7">
        <v>5</v>
      </c>
      <c r="V16" s="7">
        <v>4</v>
      </c>
    </row>
    <row r="17" spans="1:29" x14ac:dyDescent="0.25">
      <c r="A17" s="3" t="s">
        <v>193</v>
      </c>
      <c r="B17" s="4">
        <f t="shared" ref="B17" si="6">D17+C17</f>
        <v>72</v>
      </c>
      <c r="C17" s="7">
        <f t="shared" ref="C17" si="7">SUM(E17:M17)</f>
        <v>36</v>
      </c>
      <c r="D17" s="4">
        <f t="shared" ref="D17" si="8">SUM(N17:V17)</f>
        <v>36</v>
      </c>
      <c r="E17" s="7">
        <v>4</v>
      </c>
      <c r="F17" s="7">
        <v>4</v>
      </c>
      <c r="G17" s="7">
        <v>3</v>
      </c>
      <c r="H17" s="7">
        <v>5</v>
      </c>
      <c r="I17" s="7">
        <v>4</v>
      </c>
      <c r="J17" s="7">
        <v>4</v>
      </c>
      <c r="K17" s="7">
        <v>4</v>
      </c>
      <c r="L17" s="7">
        <v>3</v>
      </c>
      <c r="M17" s="7">
        <v>5</v>
      </c>
      <c r="N17" s="7">
        <v>4</v>
      </c>
      <c r="O17" s="7">
        <v>3</v>
      </c>
      <c r="P17" s="7">
        <v>4</v>
      </c>
      <c r="Q17" s="7">
        <v>5</v>
      </c>
      <c r="R17" s="7">
        <v>4</v>
      </c>
      <c r="S17" s="7">
        <v>3</v>
      </c>
      <c r="T17" s="7">
        <v>4</v>
      </c>
      <c r="U17" s="7">
        <v>5</v>
      </c>
      <c r="V17" s="7">
        <v>4</v>
      </c>
    </row>
    <row r="18" spans="1:29" x14ac:dyDescent="0.25">
      <c r="B18" s="1"/>
      <c r="C18" s="2"/>
      <c r="E18" s="2"/>
      <c r="F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9" x14ac:dyDescent="0.25">
      <c r="A19" t="s">
        <v>195</v>
      </c>
      <c r="B19" s="1"/>
      <c r="C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9" x14ac:dyDescent="0.25">
      <c r="B20" s="1"/>
      <c r="C20" s="2"/>
      <c r="E20" s="2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9" x14ac:dyDescent="0.25">
      <c r="B21" s="1"/>
      <c r="C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9" x14ac:dyDescent="0.25">
      <c r="B22" s="1"/>
      <c r="C22" s="2"/>
      <c r="E22" s="2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9" x14ac:dyDescent="0.25">
      <c r="B23" s="2"/>
      <c r="C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9" x14ac:dyDescent="0.25">
      <c r="A24" s="3" t="s">
        <v>35</v>
      </c>
      <c r="B24" s="3"/>
      <c r="C24" s="3"/>
      <c r="D24" s="4"/>
      <c r="E24" s="7"/>
      <c r="F24" s="7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9" x14ac:dyDescent="0.25">
      <c r="A25" s="9" t="s">
        <v>2</v>
      </c>
      <c r="B25" s="82" t="s">
        <v>197</v>
      </c>
      <c r="C25" s="82" t="s">
        <v>198</v>
      </c>
      <c r="D25" s="82" t="s">
        <v>194</v>
      </c>
      <c r="E25" s="20" t="s">
        <v>22</v>
      </c>
      <c r="F25" s="11" t="s">
        <v>29</v>
      </c>
      <c r="G25" s="11" t="s">
        <v>34</v>
      </c>
      <c r="H25" s="10" t="s">
        <v>27</v>
      </c>
      <c r="I25" s="12" t="s">
        <v>0</v>
      </c>
      <c r="J25" s="12" t="s">
        <v>1</v>
      </c>
      <c r="K25" s="10" t="s">
        <v>4</v>
      </c>
      <c r="L25" s="10" t="s">
        <v>5</v>
      </c>
      <c r="M25" s="10" t="s">
        <v>6</v>
      </c>
      <c r="N25" s="10" t="s">
        <v>7</v>
      </c>
      <c r="O25" s="10" t="s">
        <v>8</v>
      </c>
      <c r="P25" s="10" t="s">
        <v>9</v>
      </c>
      <c r="Q25" s="10" t="s">
        <v>10</v>
      </c>
      <c r="R25" s="10" t="s">
        <v>11</v>
      </c>
      <c r="S25" s="10" t="s">
        <v>12</v>
      </c>
      <c r="T25" s="10" t="s">
        <v>13</v>
      </c>
      <c r="U25" s="10" t="s">
        <v>14</v>
      </c>
      <c r="V25" s="10" t="s">
        <v>15</v>
      </c>
      <c r="W25" s="10" t="s">
        <v>16</v>
      </c>
      <c r="X25" s="10" t="s">
        <v>17</v>
      </c>
      <c r="Y25" s="10" t="s">
        <v>18</v>
      </c>
      <c r="Z25" s="10" t="s">
        <v>19</v>
      </c>
      <c r="AA25" s="10" t="s">
        <v>20</v>
      </c>
      <c r="AB25" s="13" t="s">
        <v>21</v>
      </c>
      <c r="AC25" s="82" t="s">
        <v>199</v>
      </c>
    </row>
    <row r="26" spans="1:29" x14ac:dyDescent="0.25">
      <c r="A26" s="3" t="s">
        <v>30</v>
      </c>
      <c r="B26" s="6">
        <v>45660</v>
      </c>
      <c r="C26" s="86">
        <v>0.58333333333333337</v>
      </c>
      <c r="D26" s="91">
        <v>53</v>
      </c>
      <c r="E26" s="7">
        <f>VLOOKUP(Table1[[#This Row],[Course]],A:B,2,FALSE)</f>
        <v>72</v>
      </c>
      <c r="F26" s="4">
        <f t="shared" ref="F26:F54" si="9">COUNTIF(K26:AB26,"&gt;=0") - COUNTIF(K26:AB26,"*[^0-9.]*")</f>
        <v>9</v>
      </c>
      <c r="G26" s="4">
        <f>Table1[[#This Row],[TOTAL]]-Table1[[#This Row],[PAR]]</f>
        <v>63</v>
      </c>
      <c r="H26" s="5">
        <f t="shared" ref="H26:H54" si="10">J26+I26</f>
        <v>135</v>
      </c>
      <c r="I26" s="5">
        <f t="shared" ref="I26:I54" si="11">SUM(K26:S26)</f>
        <v>45</v>
      </c>
      <c r="J26" s="5">
        <v>90</v>
      </c>
      <c r="K26" s="3">
        <v>7</v>
      </c>
      <c r="L26" s="3">
        <v>5</v>
      </c>
      <c r="M26" s="3">
        <v>3</v>
      </c>
      <c r="N26" s="3">
        <v>6</v>
      </c>
      <c r="O26" s="3">
        <v>7</v>
      </c>
      <c r="P26" s="3">
        <v>3</v>
      </c>
      <c r="Q26" s="3">
        <v>5</v>
      </c>
      <c r="R26" s="3">
        <v>3</v>
      </c>
      <c r="S26" s="3">
        <v>6</v>
      </c>
      <c r="T26" s="3" t="s">
        <v>26</v>
      </c>
      <c r="U26" s="3" t="s">
        <v>26</v>
      </c>
      <c r="V26" s="3" t="s">
        <v>26</v>
      </c>
      <c r="W26" s="3" t="s">
        <v>26</v>
      </c>
      <c r="X26" s="3" t="s">
        <v>26</v>
      </c>
      <c r="Y26" s="3" t="s">
        <v>26</v>
      </c>
      <c r="Z26" s="3" t="s">
        <v>26</v>
      </c>
      <c r="AA26" s="3" t="s">
        <v>26</v>
      </c>
      <c r="AB26" s="3" t="s">
        <v>26</v>
      </c>
      <c r="AC26" s="3" t="s">
        <v>87</v>
      </c>
    </row>
    <row r="27" spans="1:29" x14ac:dyDescent="0.25">
      <c r="A27" s="3" t="s">
        <v>28</v>
      </c>
      <c r="B27" s="6">
        <v>45681</v>
      </c>
      <c r="C27" s="86">
        <v>0.58333333333333337</v>
      </c>
      <c r="D27" s="91">
        <v>44</v>
      </c>
      <c r="E27" s="7">
        <f>VLOOKUP(Table1[[#This Row],[Course]],A:B,2,FALSE)</f>
        <v>72</v>
      </c>
      <c r="F27" s="4">
        <f t="shared" si="9"/>
        <v>18</v>
      </c>
      <c r="G27" s="4">
        <f>Table1[[#This Row],[TOTAL]]-Table1[[#This Row],[PAR]]</f>
        <v>21</v>
      </c>
      <c r="H27" s="5">
        <f t="shared" si="10"/>
        <v>93</v>
      </c>
      <c r="I27" s="5">
        <f t="shared" si="11"/>
        <v>47</v>
      </c>
      <c r="J27" s="5">
        <f t="shared" ref="J27:J60" si="12">SUM(T27:AB27)</f>
        <v>46</v>
      </c>
      <c r="K27" s="3">
        <v>6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5</v>
      </c>
      <c r="R27" s="3">
        <v>6</v>
      </c>
      <c r="S27" s="3">
        <v>5</v>
      </c>
      <c r="T27" s="3">
        <v>7</v>
      </c>
      <c r="U27" s="3">
        <v>6</v>
      </c>
      <c r="V27" s="3">
        <v>5</v>
      </c>
      <c r="W27" s="3">
        <v>3</v>
      </c>
      <c r="X27" s="3">
        <v>6</v>
      </c>
      <c r="Y27" s="3">
        <v>6</v>
      </c>
      <c r="Z27" s="3">
        <v>6</v>
      </c>
      <c r="AA27" s="3">
        <v>2</v>
      </c>
      <c r="AB27" s="3">
        <v>5</v>
      </c>
      <c r="AC27" s="3"/>
    </row>
    <row r="28" spans="1:29" x14ac:dyDescent="0.25">
      <c r="A28" s="3" t="s">
        <v>30</v>
      </c>
      <c r="B28" s="6">
        <v>45692</v>
      </c>
      <c r="C28" s="86">
        <v>0.58333333333333337</v>
      </c>
      <c r="D28" s="91">
        <v>60</v>
      </c>
      <c r="E28" s="7">
        <f>VLOOKUP(Table1[[#This Row],[Course]],A:B,2,FALSE)</f>
        <v>72</v>
      </c>
      <c r="F28" s="4">
        <f t="shared" si="9"/>
        <v>9</v>
      </c>
      <c r="G28" s="4">
        <f>Table1[[#This Row],[TOTAL]]-Table1[[#This Row],[PAR]]</f>
        <v>62</v>
      </c>
      <c r="H28" s="5">
        <f t="shared" si="10"/>
        <v>134</v>
      </c>
      <c r="I28" s="5">
        <f t="shared" si="11"/>
        <v>44</v>
      </c>
      <c r="J28" s="5">
        <v>90</v>
      </c>
      <c r="K28" s="3">
        <v>6</v>
      </c>
      <c r="L28" s="3">
        <v>5</v>
      </c>
      <c r="M28" s="3">
        <v>3</v>
      </c>
      <c r="N28" s="3">
        <v>5</v>
      </c>
      <c r="O28" s="3">
        <v>6</v>
      </c>
      <c r="P28" s="3">
        <v>4</v>
      </c>
      <c r="Q28" s="3">
        <v>5</v>
      </c>
      <c r="R28" s="3">
        <v>5</v>
      </c>
      <c r="S28" s="3">
        <v>5</v>
      </c>
      <c r="T28" s="3" t="s">
        <v>26</v>
      </c>
      <c r="U28" s="3" t="s">
        <v>26</v>
      </c>
      <c r="V28" s="3" t="s">
        <v>26</v>
      </c>
      <c r="W28" s="3" t="s">
        <v>26</v>
      </c>
      <c r="X28" s="3" t="s">
        <v>26</v>
      </c>
      <c r="Y28" s="3" t="s">
        <v>26</v>
      </c>
      <c r="Z28" s="3" t="s">
        <v>26</v>
      </c>
      <c r="AA28" s="3" t="s">
        <v>26</v>
      </c>
      <c r="AB28" s="3" t="s">
        <v>26</v>
      </c>
      <c r="AC28" s="3" t="s">
        <v>87</v>
      </c>
    </row>
    <row r="29" spans="1:29" x14ac:dyDescent="0.25">
      <c r="A29" s="3" t="s">
        <v>30</v>
      </c>
      <c r="B29" s="6">
        <v>45693</v>
      </c>
      <c r="C29" s="86">
        <v>0.58333333333333337</v>
      </c>
      <c r="D29" s="91">
        <v>55</v>
      </c>
      <c r="E29" s="7">
        <f>VLOOKUP(Table1[[#This Row],[Course]],A:B,2,FALSE)</f>
        <v>72</v>
      </c>
      <c r="F29" s="4">
        <f t="shared" si="9"/>
        <v>9</v>
      </c>
      <c r="G29" s="4">
        <f>Table1[[#This Row],[TOTAL]]-Table1[[#This Row],[PAR]]</f>
        <v>63</v>
      </c>
      <c r="H29" s="5">
        <f t="shared" si="10"/>
        <v>135</v>
      </c>
      <c r="I29" s="5">
        <f t="shared" si="11"/>
        <v>45</v>
      </c>
      <c r="J29" s="5">
        <v>90</v>
      </c>
      <c r="K29" s="3">
        <v>5</v>
      </c>
      <c r="L29" s="3">
        <v>7</v>
      </c>
      <c r="M29" s="3">
        <v>3</v>
      </c>
      <c r="N29" s="3">
        <v>6</v>
      </c>
      <c r="O29" s="3">
        <v>6</v>
      </c>
      <c r="P29" s="3">
        <v>4</v>
      </c>
      <c r="Q29" s="3">
        <v>5</v>
      </c>
      <c r="R29" s="3">
        <v>4</v>
      </c>
      <c r="S29" s="3">
        <v>5</v>
      </c>
      <c r="T29" s="3" t="s">
        <v>26</v>
      </c>
      <c r="U29" s="3" t="s">
        <v>26</v>
      </c>
      <c r="V29" s="3" t="s">
        <v>26</v>
      </c>
      <c r="W29" s="3" t="s">
        <v>26</v>
      </c>
      <c r="X29" s="3" t="s">
        <v>26</v>
      </c>
      <c r="Y29" s="3" t="s">
        <v>26</v>
      </c>
      <c r="Z29" s="3" t="s">
        <v>26</v>
      </c>
      <c r="AA29" s="3" t="s">
        <v>26</v>
      </c>
      <c r="AB29" s="3" t="s">
        <v>26</v>
      </c>
      <c r="AC29" s="3" t="s">
        <v>87</v>
      </c>
    </row>
    <row r="30" spans="1:29" x14ac:dyDescent="0.25">
      <c r="A30" s="3" t="s">
        <v>28</v>
      </c>
      <c r="B30" s="6">
        <v>45695</v>
      </c>
      <c r="C30" s="86">
        <v>0.58333333333333337</v>
      </c>
      <c r="D30" s="91">
        <v>51</v>
      </c>
      <c r="E30" s="7">
        <f>VLOOKUP(Table1[[#This Row],[Course]],A:B,2,FALSE)</f>
        <v>72</v>
      </c>
      <c r="F30" s="4">
        <f t="shared" si="9"/>
        <v>18</v>
      </c>
      <c r="G30" s="4">
        <f>Table1[[#This Row],[TOTAL]]-Table1[[#This Row],[PAR]]</f>
        <v>22</v>
      </c>
      <c r="H30" s="5">
        <f t="shared" si="10"/>
        <v>94</v>
      </c>
      <c r="I30" s="5">
        <f t="shared" si="11"/>
        <v>48</v>
      </c>
      <c r="J30" s="5">
        <f t="shared" si="12"/>
        <v>46</v>
      </c>
      <c r="K30" s="3">
        <v>6</v>
      </c>
      <c r="L30" s="3">
        <v>5</v>
      </c>
      <c r="M30" s="3">
        <v>5</v>
      </c>
      <c r="N30" s="3">
        <v>6</v>
      </c>
      <c r="O30" s="3">
        <v>4</v>
      </c>
      <c r="P30" s="3">
        <v>6</v>
      </c>
      <c r="Q30" s="3">
        <v>5</v>
      </c>
      <c r="R30" s="3">
        <v>6</v>
      </c>
      <c r="S30" s="3">
        <v>5</v>
      </c>
      <c r="T30" s="3">
        <v>7</v>
      </c>
      <c r="U30" s="3">
        <v>5</v>
      </c>
      <c r="V30" s="3">
        <v>4</v>
      </c>
      <c r="W30" s="3">
        <v>4</v>
      </c>
      <c r="X30" s="3">
        <v>4</v>
      </c>
      <c r="Y30" s="3">
        <v>8</v>
      </c>
      <c r="Z30" s="3">
        <v>5</v>
      </c>
      <c r="AA30" s="3">
        <v>4</v>
      </c>
      <c r="AB30" s="3">
        <v>5</v>
      </c>
      <c r="AC30" s="3"/>
    </row>
    <row r="31" spans="1:29" x14ac:dyDescent="0.25">
      <c r="A31" s="3" t="s">
        <v>3</v>
      </c>
      <c r="B31" s="6">
        <v>45696</v>
      </c>
      <c r="C31" s="86">
        <v>0.58333333333333337</v>
      </c>
      <c r="D31" s="91">
        <v>62</v>
      </c>
      <c r="E31" s="7">
        <f>VLOOKUP(Table1[[#This Row],[Course]],A:B,2,FALSE)</f>
        <v>72</v>
      </c>
      <c r="F31" s="4">
        <f t="shared" si="9"/>
        <v>9</v>
      </c>
      <c r="G31" s="4">
        <f>Table1[[#This Row],[TOTAL]]-Table1[[#This Row],[PAR]]</f>
        <v>65</v>
      </c>
      <c r="H31" s="5">
        <f t="shared" si="10"/>
        <v>137</v>
      </c>
      <c r="I31" s="5">
        <f t="shared" si="11"/>
        <v>47</v>
      </c>
      <c r="J31" s="5">
        <v>90</v>
      </c>
      <c r="K31" s="3">
        <v>7</v>
      </c>
      <c r="L31" s="3">
        <v>5</v>
      </c>
      <c r="M31" s="3">
        <v>7</v>
      </c>
      <c r="N31" s="3">
        <v>4</v>
      </c>
      <c r="O31" s="3">
        <v>6</v>
      </c>
      <c r="P31" s="3">
        <v>4</v>
      </c>
      <c r="Q31" s="3">
        <v>3</v>
      </c>
      <c r="R31" s="3">
        <v>5</v>
      </c>
      <c r="S31" s="3">
        <v>6</v>
      </c>
      <c r="T31" s="3" t="s">
        <v>26</v>
      </c>
      <c r="U31" s="3" t="s">
        <v>26</v>
      </c>
      <c r="V31" s="3" t="s">
        <v>26</v>
      </c>
      <c r="W31" s="3" t="s">
        <v>26</v>
      </c>
      <c r="X31" s="3" t="s">
        <v>26</v>
      </c>
      <c r="Y31" s="3" t="s">
        <v>26</v>
      </c>
      <c r="Z31" s="3" t="s">
        <v>26</v>
      </c>
      <c r="AA31" s="3" t="s">
        <v>26</v>
      </c>
      <c r="AB31" s="3" t="s">
        <v>26</v>
      </c>
      <c r="AC31" s="3" t="s">
        <v>87</v>
      </c>
    </row>
    <row r="32" spans="1:29" x14ac:dyDescent="0.25">
      <c r="A32" s="3" t="s">
        <v>3</v>
      </c>
      <c r="B32" s="6">
        <v>45703</v>
      </c>
      <c r="C32" s="86">
        <v>0.58333333333333337</v>
      </c>
      <c r="D32" s="91">
        <v>48</v>
      </c>
      <c r="E32" s="7">
        <f>VLOOKUP(Table1[[#This Row],[Course]],A:B,2,FALSE)</f>
        <v>72</v>
      </c>
      <c r="F32" s="4">
        <f t="shared" si="9"/>
        <v>9</v>
      </c>
      <c r="G32" s="4">
        <f>Table1[[#This Row],[TOTAL]]-Table1[[#This Row],[PAR]]</f>
        <v>68</v>
      </c>
      <c r="H32" s="5">
        <f t="shared" si="10"/>
        <v>140</v>
      </c>
      <c r="I32" s="5">
        <f t="shared" si="11"/>
        <v>50</v>
      </c>
      <c r="J32" s="5">
        <v>90</v>
      </c>
      <c r="K32" s="3">
        <v>6</v>
      </c>
      <c r="L32" s="3">
        <v>6</v>
      </c>
      <c r="M32" s="3">
        <v>5</v>
      </c>
      <c r="N32" s="3">
        <v>5</v>
      </c>
      <c r="O32" s="3">
        <v>5</v>
      </c>
      <c r="P32" s="3">
        <v>7</v>
      </c>
      <c r="Q32" s="3">
        <v>5</v>
      </c>
      <c r="R32" s="3">
        <v>5</v>
      </c>
      <c r="S32" s="3">
        <v>6</v>
      </c>
      <c r="T32" s="3" t="s">
        <v>26</v>
      </c>
      <c r="U32" s="3" t="s">
        <v>26</v>
      </c>
      <c r="V32" s="3" t="s">
        <v>26</v>
      </c>
      <c r="W32" s="3" t="s">
        <v>26</v>
      </c>
      <c r="X32" s="3" t="s">
        <v>26</v>
      </c>
      <c r="Y32" s="3" t="s">
        <v>26</v>
      </c>
      <c r="Z32" s="3" t="s">
        <v>26</v>
      </c>
      <c r="AA32" s="3" t="s">
        <v>26</v>
      </c>
      <c r="AB32" s="3" t="s">
        <v>26</v>
      </c>
      <c r="AC32" s="3" t="s">
        <v>87</v>
      </c>
    </row>
    <row r="33" spans="1:29" x14ac:dyDescent="0.25">
      <c r="A33" s="3" t="s">
        <v>30</v>
      </c>
      <c r="B33" s="6">
        <v>45711</v>
      </c>
      <c r="C33" s="86">
        <v>0.58333333333333337</v>
      </c>
      <c r="D33" s="91">
        <v>43</v>
      </c>
      <c r="E33" s="7">
        <f>VLOOKUP(Table1[[#This Row],[Course]],A:B,2,FALSE)</f>
        <v>72</v>
      </c>
      <c r="F33" s="4">
        <f t="shared" si="9"/>
        <v>18</v>
      </c>
      <c r="G33" s="4">
        <f>Table1[[#This Row],[TOTAL]]-Table1[[#This Row],[PAR]]</f>
        <v>16</v>
      </c>
      <c r="H33" s="5">
        <f t="shared" si="10"/>
        <v>88</v>
      </c>
      <c r="I33" s="5">
        <f t="shared" si="11"/>
        <v>45</v>
      </c>
      <c r="J33" s="5">
        <f t="shared" si="12"/>
        <v>43</v>
      </c>
      <c r="K33" s="3">
        <v>5</v>
      </c>
      <c r="L33" s="3">
        <v>5</v>
      </c>
      <c r="M33" s="3">
        <v>4</v>
      </c>
      <c r="N33" s="3">
        <v>7</v>
      </c>
      <c r="O33" s="3">
        <v>6</v>
      </c>
      <c r="P33" s="3">
        <v>3</v>
      </c>
      <c r="Q33" s="3">
        <v>5</v>
      </c>
      <c r="R33" s="3">
        <v>5</v>
      </c>
      <c r="S33" s="3">
        <v>5</v>
      </c>
      <c r="T33" s="3">
        <v>4</v>
      </c>
      <c r="U33" s="3">
        <v>6</v>
      </c>
      <c r="V33" s="3">
        <v>4</v>
      </c>
      <c r="W33" s="3">
        <v>3</v>
      </c>
      <c r="X33" s="3">
        <v>6</v>
      </c>
      <c r="Y33" s="3">
        <v>4</v>
      </c>
      <c r="Z33" s="3">
        <v>5</v>
      </c>
      <c r="AA33" s="3">
        <v>5</v>
      </c>
      <c r="AB33" s="3">
        <v>6</v>
      </c>
      <c r="AC33" s="3"/>
    </row>
    <row r="34" spans="1:29" x14ac:dyDescent="0.25">
      <c r="A34" s="3" t="s">
        <v>30</v>
      </c>
      <c r="B34" s="6">
        <v>45712</v>
      </c>
      <c r="C34" s="86">
        <v>0.58333333333333337</v>
      </c>
      <c r="D34" s="91">
        <v>57</v>
      </c>
      <c r="E34" s="7">
        <f>VLOOKUP(Table1[[#This Row],[Course]],A:B,2,FALSE)</f>
        <v>72</v>
      </c>
      <c r="F34" s="4">
        <f t="shared" si="9"/>
        <v>18</v>
      </c>
      <c r="G34" s="4">
        <f>Table1[[#This Row],[TOTAL]]-Table1[[#This Row],[PAR]]</f>
        <v>19</v>
      </c>
      <c r="H34" s="5">
        <f t="shared" si="10"/>
        <v>91</v>
      </c>
      <c r="I34" s="5">
        <f t="shared" si="11"/>
        <v>44</v>
      </c>
      <c r="J34" s="5">
        <f t="shared" si="12"/>
        <v>47</v>
      </c>
      <c r="K34" s="3">
        <v>5</v>
      </c>
      <c r="L34" s="3">
        <v>6</v>
      </c>
      <c r="M34" s="3">
        <v>5</v>
      </c>
      <c r="N34" s="3">
        <v>5</v>
      </c>
      <c r="O34" s="3">
        <v>5</v>
      </c>
      <c r="P34" s="3">
        <v>3</v>
      </c>
      <c r="Q34" s="3">
        <v>6</v>
      </c>
      <c r="R34" s="3">
        <v>5</v>
      </c>
      <c r="S34" s="3">
        <v>4</v>
      </c>
      <c r="T34" s="3">
        <v>5</v>
      </c>
      <c r="U34" s="3">
        <v>7</v>
      </c>
      <c r="V34" s="3">
        <v>5</v>
      </c>
      <c r="W34" s="3">
        <v>4</v>
      </c>
      <c r="X34" s="3">
        <v>7</v>
      </c>
      <c r="Y34" s="3">
        <v>3</v>
      </c>
      <c r="Z34" s="3">
        <v>5</v>
      </c>
      <c r="AA34" s="3">
        <v>5</v>
      </c>
      <c r="AB34" s="3">
        <v>6</v>
      </c>
      <c r="AC34" s="3"/>
    </row>
    <row r="35" spans="1:29" x14ac:dyDescent="0.25">
      <c r="A35" s="3" t="s">
        <v>30</v>
      </c>
      <c r="B35" s="6">
        <v>45714</v>
      </c>
      <c r="C35" s="86">
        <v>0.58333333333333337</v>
      </c>
      <c r="D35" s="91">
        <v>62</v>
      </c>
      <c r="E35" s="7">
        <f>VLOOKUP(Table1[[#This Row],[Course]],A:B,2,FALSE)</f>
        <v>72</v>
      </c>
      <c r="F35" s="4">
        <f t="shared" si="9"/>
        <v>18</v>
      </c>
      <c r="G35" s="4">
        <f>Table1[[#This Row],[TOTAL]]-Table1[[#This Row],[PAR]]</f>
        <v>22</v>
      </c>
      <c r="H35" s="5">
        <f t="shared" si="10"/>
        <v>94</v>
      </c>
      <c r="I35" s="5">
        <f t="shared" si="11"/>
        <v>45</v>
      </c>
      <c r="J35" s="5">
        <f t="shared" si="12"/>
        <v>49</v>
      </c>
      <c r="K35" s="3">
        <v>6</v>
      </c>
      <c r="L35" s="3">
        <v>4</v>
      </c>
      <c r="M35" s="3">
        <v>4</v>
      </c>
      <c r="N35" s="3">
        <v>6</v>
      </c>
      <c r="O35" s="3">
        <v>7</v>
      </c>
      <c r="P35" s="3">
        <v>3</v>
      </c>
      <c r="Q35" s="3">
        <v>5</v>
      </c>
      <c r="R35" s="3">
        <v>6</v>
      </c>
      <c r="S35" s="3">
        <v>4</v>
      </c>
      <c r="T35" s="3">
        <v>6</v>
      </c>
      <c r="U35" s="3">
        <v>6</v>
      </c>
      <c r="V35" s="3">
        <v>4</v>
      </c>
      <c r="W35" s="3">
        <v>4</v>
      </c>
      <c r="X35" s="3">
        <v>6</v>
      </c>
      <c r="Y35" s="3">
        <v>4</v>
      </c>
      <c r="Z35" s="3">
        <v>6</v>
      </c>
      <c r="AA35" s="3">
        <v>7</v>
      </c>
      <c r="AB35" s="3">
        <v>6</v>
      </c>
      <c r="AC35" s="3"/>
    </row>
    <row r="36" spans="1:29" x14ac:dyDescent="0.25">
      <c r="A36" s="3" t="s">
        <v>3</v>
      </c>
      <c r="B36" s="6">
        <v>45716</v>
      </c>
      <c r="C36" s="86">
        <v>0.58333333333333337</v>
      </c>
      <c r="D36" s="91">
        <v>56</v>
      </c>
      <c r="E36" s="7">
        <f>VLOOKUP(Table1[[#This Row],[Course]],A:B,2,FALSE)</f>
        <v>72</v>
      </c>
      <c r="F36" s="4">
        <f t="shared" si="9"/>
        <v>18</v>
      </c>
      <c r="G36" s="4">
        <f>Table1[[#This Row],[TOTAL]]-Table1[[#This Row],[PAR]]</f>
        <v>16</v>
      </c>
      <c r="H36" s="5">
        <f t="shared" si="10"/>
        <v>88</v>
      </c>
      <c r="I36" s="5">
        <f t="shared" si="11"/>
        <v>44</v>
      </c>
      <c r="J36" s="5">
        <f t="shared" si="12"/>
        <v>44</v>
      </c>
      <c r="K36" s="3">
        <v>5</v>
      </c>
      <c r="L36" s="3">
        <v>5</v>
      </c>
      <c r="M36" s="3">
        <v>7</v>
      </c>
      <c r="N36" s="3">
        <v>3</v>
      </c>
      <c r="O36" s="3">
        <v>5</v>
      </c>
      <c r="P36" s="3">
        <v>6</v>
      </c>
      <c r="Q36" s="3">
        <v>3</v>
      </c>
      <c r="R36" s="3">
        <v>4</v>
      </c>
      <c r="S36" s="3">
        <v>6</v>
      </c>
      <c r="T36" s="3">
        <v>4</v>
      </c>
      <c r="U36" s="3">
        <v>5</v>
      </c>
      <c r="V36" s="3">
        <v>5</v>
      </c>
      <c r="W36" s="3">
        <v>4</v>
      </c>
      <c r="X36" s="3">
        <v>4</v>
      </c>
      <c r="Y36" s="3">
        <v>5</v>
      </c>
      <c r="Z36" s="3">
        <v>5</v>
      </c>
      <c r="AA36" s="3">
        <v>5</v>
      </c>
      <c r="AB36" s="3">
        <v>7</v>
      </c>
      <c r="AC36" s="3"/>
    </row>
    <row r="37" spans="1:29" x14ac:dyDescent="0.25">
      <c r="A37" s="3" t="s">
        <v>3</v>
      </c>
      <c r="B37" s="6">
        <v>45723</v>
      </c>
      <c r="C37" s="86">
        <v>0.58333333333333337</v>
      </c>
      <c r="D37" s="91">
        <v>69</v>
      </c>
      <c r="E37" s="7">
        <f>VLOOKUP(Table1[[#This Row],[Course]],A:B,2,FALSE)</f>
        <v>72</v>
      </c>
      <c r="F37" s="4">
        <f t="shared" si="9"/>
        <v>9</v>
      </c>
      <c r="G37" s="4">
        <f>Table1[[#This Row],[TOTAL]]-Table1[[#This Row],[PAR]]</f>
        <v>60</v>
      </c>
      <c r="H37" s="5">
        <f t="shared" si="10"/>
        <v>132</v>
      </c>
      <c r="I37" s="5">
        <f t="shared" si="11"/>
        <v>42</v>
      </c>
      <c r="J37" s="5">
        <v>90</v>
      </c>
      <c r="K37" s="3">
        <v>6</v>
      </c>
      <c r="L37" s="3">
        <v>6</v>
      </c>
      <c r="M37" s="3">
        <v>5</v>
      </c>
      <c r="N37" s="3">
        <v>4</v>
      </c>
      <c r="O37" s="3">
        <v>5</v>
      </c>
      <c r="P37" s="3">
        <v>4</v>
      </c>
      <c r="Q37" s="3">
        <v>1</v>
      </c>
      <c r="R37" s="3">
        <v>5</v>
      </c>
      <c r="S37" s="3">
        <v>6</v>
      </c>
      <c r="T37" s="3" t="s">
        <v>26</v>
      </c>
      <c r="U37" s="3" t="s">
        <v>26</v>
      </c>
      <c r="V37" s="3" t="s">
        <v>26</v>
      </c>
      <c r="W37" s="3" t="s">
        <v>26</v>
      </c>
      <c r="X37" s="3" t="s">
        <v>26</v>
      </c>
      <c r="Y37" s="3" t="s">
        <v>26</v>
      </c>
      <c r="Z37" s="3" t="s">
        <v>26</v>
      </c>
      <c r="AA37" s="3" t="s">
        <v>26</v>
      </c>
      <c r="AB37" s="3" t="s">
        <v>26</v>
      </c>
      <c r="AC37" s="3" t="s">
        <v>87</v>
      </c>
    </row>
    <row r="38" spans="1:29" x14ac:dyDescent="0.25">
      <c r="A38" s="3" t="s">
        <v>3</v>
      </c>
      <c r="B38" s="6">
        <v>45754</v>
      </c>
      <c r="C38" s="86">
        <v>0.58333333333333337</v>
      </c>
      <c r="D38" s="91">
        <v>49</v>
      </c>
      <c r="E38" s="7">
        <f>VLOOKUP(Table1[[#This Row],[Course]],A:B,2,FALSE)</f>
        <v>72</v>
      </c>
      <c r="F38" s="4">
        <f t="shared" si="9"/>
        <v>18</v>
      </c>
      <c r="G38" s="4">
        <f>Table1[[#This Row],[TOTAL]]-Table1[[#This Row],[PAR]]</f>
        <v>19</v>
      </c>
      <c r="H38" s="5">
        <f t="shared" si="10"/>
        <v>91</v>
      </c>
      <c r="I38" s="5">
        <f t="shared" si="11"/>
        <v>46</v>
      </c>
      <c r="J38" s="5">
        <f t="shared" si="12"/>
        <v>45</v>
      </c>
      <c r="K38" s="3">
        <v>5</v>
      </c>
      <c r="L38" s="3">
        <v>6</v>
      </c>
      <c r="M38" s="3">
        <v>6</v>
      </c>
      <c r="N38" s="3">
        <v>4</v>
      </c>
      <c r="O38" s="3">
        <v>4</v>
      </c>
      <c r="P38" s="3">
        <v>6</v>
      </c>
      <c r="Q38" s="3">
        <v>4</v>
      </c>
      <c r="R38" s="3">
        <v>5</v>
      </c>
      <c r="S38" s="3">
        <v>6</v>
      </c>
      <c r="T38" s="3">
        <v>5</v>
      </c>
      <c r="U38" s="3">
        <v>7</v>
      </c>
      <c r="V38" s="3">
        <v>3</v>
      </c>
      <c r="W38" s="3">
        <v>4</v>
      </c>
      <c r="X38" s="3">
        <v>4</v>
      </c>
      <c r="Y38" s="3">
        <v>5</v>
      </c>
      <c r="Z38" s="3">
        <v>6</v>
      </c>
      <c r="AA38" s="3">
        <v>5</v>
      </c>
      <c r="AB38" s="3">
        <v>6</v>
      </c>
      <c r="AC38" s="6"/>
    </row>
    <row r="39" spans="1:29" x14ac:dyDescent="0.25">
      <c r="A39" s="3" t="s">
        <v>3</v>
      </c>
      <c r="B39" s="6">
        <v>45755</v>
      </c>
      <c r="C39" s="86">
        <v>0.58333333333333337</v>
      </c>
      <c r="D39" s="91">
        <v>60</v>
      </c>
      <c r="E39" s="7">
        <f>VLOOKUP(Table1[[#This Row],[Course]],A:B,2,FALSE)</f>
        <v>72</v>
      </c>
      <c r="F39" s="4">
        <f t="shared" si="9"/>
        <v>18</v>
      </c>
      <c r="G39" s="4">
        <f>Table1[[#This Row],[TOTAL]]-Table1[[#This Row],[PAR]]</f>
        <v>17</v>
      </c>
      <c r="H39" s="5">
        <f t="shared" si="10"/>
        <v>89</v>
      </c>
      <c r="I39" s="5">
        <f t="shared" si="11"/>
        <v>44</v>
      </c>
      <c r="J39" s="5">
        <f t="shared" si="12"/>
        <v>45</v>
      </c>
      <c r="K39" s="3">
        <v>5</v>
      </c>
      <c r="L39" s="3">
        <v>4</v>
      </c>
      <c r="M39" s="3">
        <v>7</v>
      </c>
      <c r="N39" s="3">
        <v>3</v>
      </c>
      <c r="O39" s="3">
        <v>6</v>
      </c>
      <c r="P39" s="3">
        <v>6</v>
      </c>
      <c r="Q39" s="3">
        <v>3</v>
      </c>
      <c r="R39" s="3">
        <v>6</v>
      </c>
      <c r="S39" s="3">
        <v>4</v>
      </c>
      <c r="T39" s="3">
        <v>5</v>
      </c>
      <c r="U39" s="3">
        <v>6</v>
      </c>
      <c r="V39" s="3">
        <v>4</v>
      </c>
      <c r="W39" s="3">
        <v>5</v>
      </c>
      <c r="X39" s="3">
        <v>3</v>
      </c>
      <c r="Y39" s="3">
        <v>5</v>
      </c>
      <c r="Z39" s="3">
        <v>6</v>
      </c>
      <c r="AA39" s="3">
        <v>4</v>
      </c>
      <c r="AB39" s="3">
        <v>7</v>
      </c>
      <c r="AC39" s="3"/>
    </row>
    <row r="40" spans="1:29" x14ac:dyDescent="0.25">
      <c r="A40" s="3" t="s">
        <v>30</v>
      </c>
      <c r="B40" s="6">
        <v>45757</v>
      </c>
      <c r="C40" s="86">
        <v>0.58333333333333337</v>
      </c>
      <c r="D40" s="91">
        <v>66</v>
      </c>
      <c r="E40" s="7">
        <f>VLOOKUP(Table1[[#This Row],[Course]],A:B,2,FALSE)</f>
        <v>72</v>
      </c>
      <c r="F40" s="4">
        <f t="shared" si="9"/>
        <v>18</v>
      </c>
      <c r="G40" s="4">
        <f>Table1[[#This Row],[TOTAL]]-Table1[[#This Row],[PAR]]</f>
        <v>17</v>
      </c>
      <c r="H40" s="5">
        <f t="shared" si="10"/>
        <v>89</v>
      </c>
      <c r="I40" s="5">
        <f t="shared" si="11"/>
        <v>44</v>
      </c>
      <c r="J40" s="5">
        <f t="shared" si="12"/>
        <v>45</v>
      </c>
      <c r="K40" s="3">
        <v>6</v>
      </c>
      <c r="L40" s="3">
        <v>4</v>
      </c>
      <c r="M40" s="3">
        <v>3</v>
      </c>
      <c r="N40" s="3">
        <v>5</v>
      </c>
      <c r="O40" s="3">
        <v>7</v>
      </c>
      <c r="P40" s="3">
        <v>4</v>
      </c>
      <c r="Q40" s="3">
        <v>6</v>
      </c>
      <c r="R40" s="3">
        <v>4</v>
      </c>
      <c r="S40" s="3">
        <v>5</v>
      </c>
      <c r="T40" s="3">
        <v>5</v>
      </c>
      <c r="U40" s="3">
        <v>6</v>
      </c>
      <c r="V40" s="3">
        <v>5</v>
      </c>
      <c r="W40" s="3">
        <v>3</v>
      </c>
      <c r="X40" s="3">
        <v>7</v>
      </c>
      <c r="Y40" s="3">
        <v>4</v>
      </c>
      <c r="Z40" s="3">
        <v>6</v>
      </c>
      <c r="AA40" s="3">
        <v>5</v>
      </c>
      <c r="AB40" s="3">
        <v>4</v>
      </c>
      <c r="AC40" s="3"/>
    </row>
    <row r="41" spans="1:29" x14ac:dyDescent="0.25">
      <c r="A41" s="3" t="s">
        <v>3</v>
      </c>
      <c r="B41" s="6">
        <v>45758</v>
      </c>
      <c r="C41" s="86">
        <v>0.58333333333333337</v>
      </c>
      <c r="D41" s="91">
        <v>73</v>
      </c>
      <c r="E41" s="7">
        <f>VLOOKUP(Table1[[#This Row],[Course]],A:B,2,FALSE)</f>
        <v>72</v>
      </c>
      <c r="F41" s="4">
        <f t="shared" si="9"/>
        <v>9</v>
      </c>
      <c r="G41" s="4">
        <f>Table1[[#This Row],[TOTAL]]-Table1[[#This Row],[PAR]]</f>
        <v>67</v>
      </c>
      <c r="H41" s="5">
        <f t="shared" si="10"/>
        <v>139</v>
      </c>
      <c r="I41" s="5">
        <f t="shared" si="11"/>
        <v>49</v>
      </c>
      <c r="J41" s="5">
        <v>90</v>
      </c>
      <c r="K41" s="3">
        <v>5</v>
      </c>
      <c r="L41" s="3">
        <v>6</v>
      </c>
      <c r="M41" s="3">
        <v>6</v>
      </c>
      <c r="N41" s="3">
        <v>4</v>
      </c>
      <c r="O41" s="3">
        <v>6</v>
      </c>
      <c r="P41" s="3">
        <v>6</v>
      </c>
      <c r="Q41" s="3">
        <v>4</v>
      </c>
      <c r="R41" s="3">
        <v>5</v>
      </c>
      <c r="S41" s="3">
        <v>7</v>
      </c>
      <c r="T41" s="3" t="s">
        <v>26</v>
      </c>
      <c r="U41" s="3" t="s">
        <v>26</v>
      </c>
      <c r="V41" s="3" t="s">
        <v>26</v>
      </c>
      <c r="W41" s="3" t="s">
        <v>26</v>
      </c>
      <c r="X41" s="3" t="s">
        <v>26</v>
      </c>
      <c r="Y41" s="3" t="s">
        <v>26</v>
      </c>
      <c r="Z41" s="3" t="s">
        <v>26</v>
      </c>
      <c r="AA41" s="3" t="s">
        <v>26</v>
      </c>
      <c r="AB41" s="3" t="s">
        <v>26</v>
      </c>
      <c r="AC41" s="3" t="s">
        <v>87</v>
      </c>
    </row>
    <row r="42" spans="1:29" x14ac:dyDescent="0.25">
      <c r="A42" s="3" t="s">
        <v>31</v>
      </c>
      <c r="B42" s="6">
        <v>45853</v>
      </c>
      <c r="C42" s="86">
        <v>0.625</v>
      </c>
      <c r="D42" s="91">
        <v>89</v>
      </c>
      <c r="E42" s="7">
        <f>VLOOKUP(Table1[[#This Row],[Course]],A:B,2,FALSE)</f>
        <v>70</v>
      </c>
      <c r="F42" s="4">
        <f t="shared" si="9"/>
        <v>18</v>
      </c>
      <c r="G42" s="4">
        <f>Table1[[#This Row],[TOTAL]]-Table1[[#This Row],[PAR]]</f>
        <v>18</v>
      </c>
      <c r="H42" s="5">
        <f t="shared" si="10"/>
        <v>88</v>
      </c>
      <c r="I42" s="5">
        <f t="shared" si="11"/>
        <v>41</v>
      </c>
      <c r="J42" s="5">
        <f t="shared" si="12"/>
        <v>47</v>
      </c>
      <c r="K42" s="3">
        <v>5</v>
      </c>
      <c r="L42" s="3">
        <v>4</v>
      </c>
      <c r="M42" s="3">
        <v>5</v>
      </c>
      <c r="N42" s="3">
        <v>4</v>
      </c>
      <c r="O42" s="3">
        <v>6</v>
      </c>
      <c r="P42" s="3">
        <v>4</v>
      </c>
      <c r="Q42" s="3">
        <v>5</v>
      </c>
      <c r="R42" s="3">
        <v>3</v>
      </c>
      <c r="S42" s="3">
        <v>5</v>
      </c>
      <c r="T42" s="3">
        <v>5</v>
      </c>
      <c r="U42" s="3">
        <v>5</v>
      </c>
      <c r="V42" s="3">
        <v>6</v>
      </c>
      <c r="W42" s="3">
        <v>6</v>
      </c>
      <c r="X42" s="3">
        <v>6</v>
      </c>
      <c r="Y42" s="3">
        <v>6</v>
      </c>
      <c r="Z42" s="3">
        <v>3</v>
      </c>
      <c r="AA42" s="3">
        <v>5</v>
      </c>
      <c r="AB42" s="3">
        <v>5</v>
      </c>
      <c r="AC42" s="3"/>
    </row>
    <row r="43" spans="1:29" x14ac:dyDescent="0.25">
      <c r="A43" s="3" t="s">
        <v>31</v>
      </c>
      <c r="B43" s="6">
        <v>45859</v>
      </c>
      <c r="C43" s="86">
        <v>0.625</v>
      </c>
      <c r="D43" s="91">
        <v>93</v>
      </c>
      <c r="E43" s="7">
        <f>VLOOKUP(Table1[[#This Row],[Course]],A:B,2,FALSE)</f>
        <v>70</v>
      </c>
      <c r="F43" s="4">
        <f t="shared" si="9"/>
        <v>18</v>
      </c>
      <c r="G43" s="4">
        <f>Table1[[#This Row],[TOTAL]]-Table1[[#This Row],[PAR]]</f>
        <v>23</v>
      </c>
      <c r="H43" s="5">
        <f t="shared" si="10"/>
        <v>93</v>
      </c>
      <c r="I43" s="5">
        <f t="shared" si="11"/>
        <v>42</v>
      </c>
      <c r="J43" s="5">
        <f t="shared" si="12"/>
        <v>51</v>
      </c>
      <c r="K43" s="3">
        <v>5</v>
      </c>
      <c r="L43" s="3">
        <v>5</v>
      </c>
      <c r="M43" s="3">
        <v>5</v>
      </c>
      <c r="N43" s="3">
        <v>5</v>
      </c>
      <c r="O43" s="3">
        <v>6</v>
      </c>
      <c r="P43" s="3">
        <v>3</v>
      </c>
      <c r="Q43" s="3">
        <v>5</v>
      </c>
      <c r="R43" s="3">
        <v>4</v>
      </c>
      <c r="S43" s="3">
        <v>4</v>
      </c>
      <c r="T43" s="3">
        <v>5</v>
      </c>
      <c r="U43" s="3">
        <v>7</v>
      </c>
      <c r="V43" s="3">
        <v>5</v>
      </c>
      <c r="W43" s="3">
        <v>6</v>
      </c>
      <c r="X43" s="3">
        <v>5</v>
      </c>
      <c r="Y43" s="3">
        <v>6</v>
      </c>
      <c r="Z43" s="3">
        <v>6</v>
      </c>
      <c r="AA43" s="3">
        <v>6</v>
      </c>
      <c r="AB43" s="3">
        <v>5</v>
      </c>
      <c r="AC43" s="3"/>
    </row>
    <row r="44" spans="1:29" x14ac:dyDescent="0.25">
      <c r="A44" s="3" t="s">
        <v>31</v>
      </c>
      <c r="B44" s="6">
        <v>45862</v>
      </c>
      <c r="C44" s="86">
        <v>0.625</v>
      </c>
      <c r="D44" s="91">
        <v>84</v>
      </c>
      <c r="E44" s="7">
        <f>VLOOKUP(Table1[[#This Row],[Course]],A:B,2,FALSE)</f>
        <v>70</v>
      </c>
      <c r="F44" s="4">
        <f t="shared" si="9"/>
        <v>18</v>
      </c>
      <c r="G44" s="4">
        <f>Table1[[#This Row],[TOTAL]]-Table1[[#This Row],[PAR]]</f>
        <v>13</v>
      </c>
      <c r="H44" s="5">
        <f t="shared" si="10"/>
        <v>83</v>
      </c>
      <c r="I44" s="5">
        <f t="shared" si="11"/>
        <v>41</v>
      </c>
      <c r="J44" s="5">
        <f t="shared" si="12"/>
        <v>42</v>
      </c>
      <c r="K44" s="3">
        <v>6</v>
      </c>
      <c r="L44" s="3">
        <v>4</v>
      </c>
      <c r="M44" s="3">
        <v>4</v>
      </c>
      <c r="N44" s="3">
        <v>3</v>
      </c>
      <c r="O44" s="3">
        <v>5</v>
      </c>
      <c r="P44" s="3">
        <v>4</v>
      </c>
      <c r="Q44" s="3">
        <v>5</v>
      </c>
      <c r="R44" s="3">
        <v>5</v>
      </c>
      <c r="S44" s="3">
        <v>5</v>
      </c>
      <c r="T44" s="3">
        <v>4</v>
      </c>
      <c r="U44" s="3">
        <v>4</v>
      </c>
      <c r="V44" s="3">
        <v>6</v>
      </c>
      <c r="W44" s="3">
        <v>4</v>
      </c>
      <c r="X44" s="3">
        <v>6</v>
      </c>
      <c r="Y44" s="3">
        <v>6</v>
      </c>
      <c r="Z44" s="3">
        <v>3</v>
      </c>
      <c r="AA44" s="3">
        <v>4</v>
      </c>
      <c r="AB44" s="3">
        <v>5</v>
      </c>
      <c r="AC44" s="3"/>
    </row>
    <row r="45" spans="1:29" x14ac:dyDescent="0.25">
      <c r="A45" s="3" t="s">
        <v>28</v>
      </c>
      <c r="B45" s="6">
        <v>45863</v>
      </c>
      <c r="C45" s="86">
        <v>0.625</v>
      </c>
      <c r="D45" s="91">
        <v>92</v>
      </c>
      <c r="E45" s="7">
        <f>VLOOKUP(Table1[[#This Row],[Course]],A:B,2,FALSE)</f>
        <v>72</v>
      </c>
      <c r="F45" s="4">
        <f t="shared" si="9"/>
        <v>18</v>
      </c>
      <c r="G45" s="4">
        <f>Table1[[#This Row],[TOTAL]]-Table1[[#This Row],[PAR]]</f>
        <v>9</v>
      </c>
      <c r="H45" s="5">
        <f t="shared" si="10"/>
        <v>81</v>
      </c>
      <c r="I45" s="5">
        <f t="shared" si="11"/>
        <v>41</v>
      </c>
      <c r="J45" s="5">
        <f t="shared" si="12"/>
        <v>40</v>
      </c>
      <c r="K45" s="3">
        <v>3</v>
      </c>
      <c r="L45" s="3">
        <v>4</v>
      </c>
      <c r="M45" s="3">
        <v>5</v>
      </c>
      <c r="N45" s="3">
        <v>6</v>
      </c>
      <c r="O45" s="3">
        <v>4</v>
      </c>
      <c r="P45" s="3">
        <v>4</v>
      </c>
      <c r="Q45" s="3">
        <v>5</v>
      </c>
      <c r="R45" s="3">
        <v>5</v>
      </c>
      <c r="S45" s="3">
        <v>5</v>
      </c>
      <c r="T45" s="3">
        <v>6</v>
      </c>
      <c r="U45" s="3">
        <v>4</v>
      </c>
      <c r="V45" s="3">
        <v>4</v>
      </c>
      <c r="W45" s="3">
        <v>4</v>
      </c>
      <c r="X45" s="3">
        <v>4</v>
      </c>
      <c r="Y45" s="3">
        <v>5</v>
      </c>
      <c r="Z45" s="3">
        <v>6</v>
      </c>
      <c r="AA45" s="3">
        <v>3</v>
      </c>
      <c r="AB45" s="3">
        <v>4</v>
      </c>
      <c r="AC45" s="3"/>
    </row>
    <row r="46" spans="1:29" x14ac:dyDescent="0.25">
      <c r="A46" s="3" t="s">
        <v>30</v>
      </c>
      <c r="B46" s="6">
        <v>45882</v>
      </c>
      <c r="C46" s="86">
        <v>0.625</v>
      </c>
      <c r="D46" s="91">
        <v>83</v>
      </c>
      <c r="E46" s="7">
        <f>VLOOKUP(Table1[[#This Row],[Course]],A:B,2,FALSE)</f>
        <v>72</v>
      </c>
      <c r="F46" s="4">
        <f t="shared" si="9"/>
        <v>18</v>
      </c>
      <c r="G46" s="4">
        <f>Table1[[#This Row],[TOTAL]]-Table1[[#This Row],[PAR]]</f>
        <v>18</v>
      </c>
      <c r="H46" s="5">
        <f t="shared" si="10"/>
        <v>90</v>
      </c>
      <c r="I46" s="5">
        <f t="shared" si="11"/>
        <v>45</v>
      </c>
      <c r="J46" s="5">
        <f t="shared" si="12"/>
        <v>45</v>
      </c>
      <c r="K46" s="3">
        <v>6</v>
      </c>
      <c r="L46" s="3">
        <v>7</v>
      </c>
      <c r="M46" s="3">
        <v>6</v>
      </c>
      <c r="N46" s="3">
        <v>7</v>
      </c>
      <c r="O46" s="3">
        <v>4</v>
      </c>
      <c r="P46" s="3">
        <v>3</v>
      </c>
      <c r="Q46" s="3">
        <v>4</v>
      </c>
      <c r="R46" s="3">
        <v>4</v>
      </c>
      <c r="S46" s="3">
        <v>4</v>
      </c>
      <c r="T46" s="3">
        <v>7</v>
      </c>
      <c r="U46" s="3">
        <v>6</v>
      </c>
      <c r="V46" s="3">
        <v>3</v>
      </c>
      <c r="W46" s="3">
        <v>3</v>
      </c>
      <c r="X46" s="3">
        <v>6</v>
      </c>
      <c r="Y46" s="3">
        <v>4</v>
      </c>
      <c r="Z46" s="3">
        <v>6</v>
      </c>
      <c r="AA46" s="3">
        <v>6</v>
      </c>
      <c r="AB46" s="3">
        <v>4</v>
      </c>
      <c r="AC46" s="3"/>
    </row>
    <row r="47" spans="1:29" x14ac:dyDescent="0.25">
      <c r="A47" s="3" t="s">
        <v>31</v>
      </c>
      <c r="B47" s="6">
        <v>45888</v>
      </c>
      <c r="C47" s="86">
        <v>0.625</v>
      </c>
      <c r="D47" s="91">
        <v>89</v>
      </c>
      <c r="E47" s="7">
        <f>VLOOKUP(Table1[[#This Row],[Course]],A:B,2,FALSE)</f>
        <v>70</v>
      </c>
      <c r="F47" s="4">
        <f t="shared" si="9"/>
        <v>18</v>
      </c>
      <c r="G47" s="4">
        <f>Table1[[#This Row],[TOTAL]]-Table1[[#This Row],[PAR]]</f>
        <v>14</v>
      </c>
      <c r="H47" s="5">
        <f t="shared" si="10"/>
        <v>84</v>
      </c>
      <c r="I47" s="5">
        <f t="shared" si="11"/>
        <v>39</v>
      </c>
      <c r="J47" s="5">
        <f t="shared" si="12"/>
        <v>45</v>
      </c>
      <c r="K47" s="3">
        <v>5</v>
      </c>
      <c r="L47" s="3">
        <v>4</v>
      </c>
      <c r="M47" s="3">
        <v>5</v>
      </c>
      <c r="N47" s="3">
        <v>3</v>
      </c>
      <c r="O47" s="3">
        <v>6</v>
      </c>
      <c r="P47" s="3">
        <v>4</v>
      </c>
      <c r="Q47" s="3">
        <v>4</v>
      </c>
      <c r="R47" s="3">
        <v>4</v>
      </c>
      <c r="S47" s="3">
        <v>4</v>
      </c>
      <c r="T47" s="3">
        <v>5</v>
      </c>
      <c r="U47" s="3">
        <v>4</v>
      </c>
      <c r="V47" s="3">
        <v>6</v>
      </c>
      <c r="W47" s="3">
        <v>4</v>
      </c>
      <c r="X47" s="3">
        <v>5</v>
      </c>
      <c r="Y47" s="3">
        <v>6</v>
      </c>
      <c r="Z47" s="3">
        <v>3</v>
      </c>
      <c r="AA47" s="3">
        <v>7</v>
      </c>
      <c r="AB47" s="3">
        <v>5</v>
      </c>
      <c r="AC47" s="3"/>
    </row>
    <row r="48" spans="1:29" x14ac:dyDescent="0.25">
      <c r="A48" s="3" t="s">
        <v>31</v>
      </c>
      <c r="B48" s="6">
        <v>45890</v>
      </c>
      <c r="C48" s="86">
        <v>0.625</v>
      </c>
      <c r="D48" s="91">
        <v>81</v>
      </c>
      <c r="E48" s="7">
        <f>VLOOKUP(Table1[[#This Row],[Course]],A:B,2,FALSE)</f>
        <v>70</v>
      </c>
      <c r="F48" s="4">
        <f t="shared" si="9"/>
        <v>18</v>
      </c>
      <c r="G48" s="4">
        <f>Table1[[#This Row],[TOTAL]]-Table1[[#This Row],[PAR]]</f>
        <v>58</v>
      </c>
      <c r="H48" s="5">
        <f t="shared" si="10"/>
        <v>128</v>
      </c>
      <c r="I48" s="5">
        <f t="shared" si="11"/>
        <v>47</v>
      </c>
      <c r="J48" s="5">
        <f t="shared" si="12"/>
        <v>81</v>
      </c>
      <c r="K48" s="3">
        <v>6</v>
      </c>
      <c r="L48" s="3">
        <v>4</v>
      </c>
      <c r="M48" s="3">
        <v>5</v>
      </c>
      <c r="N48" s="3">
        <v>4</v>
      </c>
      <c r="O48" s="3">
        <v>5</v>
      </c>
      <c r="P48" s="3">
        <v>5</v>
      </c>
      <c r="Q48" s="3">
        <v>6</v>
      </c>
      <c r="R48" s="3">
        <v>6</v>
      </c>
      <c r="S48" s="3">
        <v>6</v>
      </c>
      <c r="T48" s="3">
        <v>7</v>
      </c>
      <c r="U48" s="3">
        <v>4</v>
      </c>
      <c r="V48" s="3">
        <v>10</v>
      </c>
      <c r="W48" s="3">
        <v>10</v>
      </c>
      <c r="X48" s="3">
        <v>10</v>
      </c>
      <c r="Y48" s="3">
        <v>10</v>
      </c>
      <c r="Z48" s="3">
        <v>10</v>
      </c>
      <c r="AA48" s="3">
        <v>10</v>
      </c>
      <c r="AB48" s="3">
        <v>10</v>
      </c>
      <c r="AC48" s="3" t="s">
        <v>87</v>
      </c>
    </row>
    <row r="49" spans="1:29" x14ac:dyDescent="0.25">
      <c r="A49" s="3" t="s">
        <v>31</v>
      </c>
      <c r="B49" s="6">
        <v>45895</v>
      </c>
      <c r="C49" s="86">
        <v>0.625</v>
      </c>
      <c r="D49" s="91">
        <v>94</v>
      </c>
      <c r="E49" s="7">
        <f>VLOOKUP(Table1[[#This Row],[Course]],A:B,2,FALSE)</f>
        <v>70</v>
      </c>
      <c r="F49" s="4">
        <f t="shared" si="9"/>
        <v>18</v>
      </c>
      <c r="G49" s="4">
        <f>Table1[[#This Row],[TOTAL]]-Table1[[#This Row],[PAR]]</f>
        <v>17</v>
      </c>
      <c r="H49" s="5">
        <f t="shared" si="10"/>
        <v>87</v>
      </c>
      <c r="I49" s="5">
        <f t="shared" si="11"/>
        <v>46</v>
      </c>
      <c r="J49" s="5">
        <f t="shared" si="12"/>
        <v>41</v>
      </c>
      <c r="K49" s="3">
        <v>5</v>
      </c>
      <c r="L49" s="3">
        <v>4</v>
      </c>
      <c r="M49" s="3">
        <v>6</v>
      </c>
      <c r="N49" s="3">
        <v>4</v>
      </c>
      <c r="O49" s="3">
        <v>10</v>
      </c>
      <c r="P49" s="3">
        <v>4</v>
      </c>
      <c r="Q49" s="3">
        <v>4</v>
      </c>
      <c r="R49" s="3">
        <v>4</v>
      </c>
      <c r="S49" s="3">
        <v>5</v>
      </c>
      <c r="T49" s="3">
        <v>5</v>
      </c>
      <c r="U49" s="3">
        <v>4</v>
      </c>
      <c r="V49" s="3">
        <v>4</v>
      </c>
      <c r="W49" s="3">
        <v>6</v>
      </c>
      <c r="X49" s="3">
        <v>4</v>
      </c>
      <c r="Y49" s="3">
        <v>6</v>
      </c>
      <c r="Z49" s="3">
        <v>3</v>
      </c>
      <c r="AA49" s="3">
        <v>4</v>
      </c>
      <c r="AB49" s="3">
        <v>5</v>
      </c>
      <c r="AC49" s="3"/>
    </row>
    <row r="50" spans="1:29" x14ac:dyDescent="0.25">
      <c r="A50" s="3" t="s">
        <v>28</v>
      </c>
      <c r="B50" s="6">
        <v>45904</v>
      </c>
      <c r="C50" s="86">
        <v>0.625</v>
      </c>
      <c r="D50" s="91">
        <v>75</v>
      </c>
      <c r="E50" s="7">
        <f>VLOOKUP(Table1[[#This Row],[Course]],A:B,2,FALSE)</f>
        <v>72</v>
      </c>
      <c r="F50" s="4">
        <f t="shared" si="9"/>
        <v>18</v>
      </c>
      <c r="G50" s="4">
        <f>Table1[[#This Row],[TOTAL]]-Table1[[#This Row],[PAR]]</f>
        <v>16</v>
      </c>
      <c r="H50" s="5">
        <f t="shared" si="10"/>
        <v>88</v>
      </c>
      <c r="I50" s="5">
        <f t="shared" si="11"/>
        <v>44</v>
      </c>
      <c r="J50" s="5">
        <f t="shared" si="12"/>
        <v>44</v>
      </c>
      <c r="K50" s="3">
        <v>6</v>
      </c>
      <c r="L50" s="3">
        <v>4</v>
      </c>
      <c r="M50" s="3">
        <v>4</v>
      </c>
      <c r="N50" s="3">
        <v>6</v>
      </c>
      <c r="O50" s="3">
        <v>5</v>
      </c>
      <c r="P50" s="3">
        <v>4</v>
      </c>
      <c r="Q50" s="3">
        <v>4</v>
      </c>
      <c r="R50" s="3">
        <v>4</v>
      </c>
      <c r="S50" s="3">
        <v>7</v>
      </c>
      <c r="T50" s="3">
        <v>5</v>
      </c>
      <c r="U50" s="3">
        <v>4</v>
      </c>
      <c r="V50" s="3">
        <v>5</v>
      </c>
      <c r="W50" s="3">
        <v>5</v>
      </c>
      <c r="X50" s="3">
        <v>4</v>
      </c>
      <c r="Y50" s="3">
        <v>5</v>
      </c>
      <c r="Z50" s="3">
        <v>8</v>
      </c>
      <c r="AA50" s="3">
        <v>3</v>
      </c>
      <c r="AB50" s="3">
        <v>5</v>
      </c>
      <c r="AC50" s="3"/>
    </row>
    <row r="51" spans="1:29" x14ac:dyDescent="0.25">
      <c r="A51" s="3" t="s">
        <v>53</v>
      </c>
      <c r="B51" s="6">
        <v>45905</v>
      </c>
      <c r="C51" s="86">
        <v>0.625</v>
      </c>
      <c r="D51" s="91">
        <v>80</v>
      </c>
      <c r="E51" s="7">
        <f>VLOOKUP(Table1[[#This Row],[Course]],A:B,2,FALSE)</f>
        <v>71</v>
      </c>
      <c r="F51" s="4">
        <f t="shared" si="9"/>
        <v>18</v>
      </c>
      <c r="G51" s="4">
        <f>Table1[[#This Row],[TOTAL]]-Table1[[#This Row],[PAR]]</f>
        <v>18</v>
      </c>
      <c r="H51" s="5">
        <f t="shared" si="10"/>
        <v>89</v>
      </c>
      <c r="I51" s="5">
        <f t="shared" si="11"/>
        <v>40</v>
      </c>
      <c r="J51" s="5">
        <f t="shared" si="12"/>
        <v>49</v>
      </c>
      <c r="K51" s="3">
        <v>4</v>
      </c>
      <c r="L51" s="3">
        <v>4</v>
      </c>
      <c r="M51" s="3">
        <v>6</v>
      </c>
      <c r="N51" s="3">
        <v>5</v>
      </c>
      <c r="O51" s="3">
        <v>4</v>
      </c>
      <c r="P51" s="3">
        <v>5</v>
      </c>
      <c r="Q51" s="3">
        <v>4</v>
      </c>
      <c r="R51" s="3">
        <v>3</v>
      </c>
      <c r="S51" s="3">
        <v>5</v>
      </c>
      <c r="T51" s="3">
        <v>5</v>
      </c>
      <c r="U51" s="3">
        <v>3</v>
      </c>
      <c r="V51" s="3">
        <v>5</v>
      </c>
      <c r="W51" s="3">
        <v>4</v>
      </c>
      <c r="X51" s="3">
        <v>4</v>
      </c>
      <c r="Y51" s="3">
        <v>7</v>
      </c>
      <c r="Z51" s="3">
        <v>6</v>
      </c>
      <c r="AA51" s="3">
        <v>8</v>
      </c>
      <c r="AB51" s="3">
        <v>7</v>
      </c>
      <c r="AC51" s="3"/>
    </row>
    <row r="52" spans="1:29" x14ac:dyDescent="0.25">
      <c r="A52" s="3" t="s">
        <v>31</v>
      </c>
      <c r="B52" s="6">
        <v>45910</v>
      </c>
      <c r="C52" s="86">
        <v>0.625</v>
      </c>
      <c r="D52" s="91">
        <v>88</v>
      </c>
      <c r="E52" s="7">
        <f>VLOOKUP(Table1[[#This Row],[Course]],A:B,2,FALSE)</f>
        <v>70</v>
      </c>
      <c r="F52" s="4">
        <f t="shared" si="9"/>
        <v>18</v>
      </c>
      <c r="G52" s="4">
        <f>Table1[[#This Row],[TOTAL]]-Table1[[#This Row],[PAR]]</f>
        <v>17</v>
      </c>
      <c r="H52" s="5">
        <f t="shared" si="10"/>
        <v>87</v>
      </c>
      <c r="I52" s="5">
        <f t="shared" si="11"/>
        <v>41</v>
      </c>
      <c r="J52" s="5">
        <f t="shared" si="12"/>
        <v>46</v>
      </c>
      <c r="K52" s="3">
        <v>4</v>
      </c>
      <c r="L52" s="3">
        <v>5</v>
      </c>
      <c r="M52" s="3">
        <v>5</v>
      </c>
      <c r="N52" s="3">
        <v>3</v>
      </c>
      <c r="O52" s="3">
        <v>7</v>
      </c>
      <c r="P52" s="3">
        <v>5</v>
      </c>
      <c r="Q52" s="3">
        <v>4</v>
      </c>
      <c r="R52" s="3">
        <v>3</v>
      </c>
      <c r="S52" s="3">
        <v>5</v>
      </c>
      <c r="T52" s="3">
        <v>5</v>
      </c>
      <c r="U52" s="3">
        <v>5</v>
      </c>
      <c r="V52" s="3">
        <v>3</v>
      </c>
      <c r="W52" s="3">
        <v>6</v>
      </c>
      <c r="X52" s="3">
        <v>6</v>
      </c>
      <c r="Y52" s="3">
        <v>6</v>
      </c>
      <c r="Z52" s="3">
        <v>5</v>
      </c>
      <c r="AA52" s="3">
        <v>5</v>
      </c>
      <c r="AB52" s="3">
        <v>5</v>
      </c>
      <c r="AC52" s="3"/>
    </row>
    <row r="53" spans="1:29" x14ac:dyDescent="0.25">
      <c r="A53" s="3" t="s">
        <v>28</v>
      </c>
      <c r="B53" s="6">
        <v>45917</v>
      </c>
      <c r="C53" s="86">
        <v>0.625</v>
      </c>
      <c r="D53" s="91">
        <v>74</v>
      </c>
      <c r="E53" s="7">
        <f>VLOOKUP(Table1[[#This Row],[Course]],A:B,2,FALSE)</f>
        <v>72</v>
      </c>
      <c r="F53" s="4">
        <f t="shared" si="9"/>
        <v>18</v>
      </c>
      <c r="G53" s="4">
        <f>Table1[[#This Row],[TOTAL]]-Table1[[#This Row],[PAR]]</f>
        <v>22</v>
      </c>
      <c r="H53" s="5">
        <f t="shared" si="10"/>
        <v>94</v>
      </c>
      <c r="I53" s="5">
        <f t="shared" si="11"/>
        <v>48</v>
      </c>
      <c r="J53" s="5">
        <f t="shared" si="12"/>
        <v>46</v>
      </c>
      <c r="K53" s="3">
        <v>6</v>
      </c>
      <c r="L53" s="3">
        <v>5</v>
      </c>
      <c r="M53" s="3">
        <v>5</v>
      </c>
      <c r="N53" s="3">
        <v>6</v>
      </c>
      <c r="O53" s="3">
        <v>4</v>
      </c>
      <c r="P53" s="3">
        <v>6</v>
      </c>
      <c r="Q53" s="3">
        <v>5</v>
      </c>
      <c r="R53" s="3">
        <v>6</v>
      </c>
      <c r="S53" s="3">
        <v>5</v>
      </c>
      <c r="T53" s="3">
        <v>7</v>
      </c>
      <c r="U53" s="3">
        <v>5</v>
      </c>
      <c r="V53" s="3">
        <v>4</v>
      </c>
      <c r="W53" s="3">
        <v>4</v>
      </c>
      <c r="X53" s="3">
        <v>4</v>
      </c>
      <c r="Y53" s="3">
        <v>8</v>
      </c>
      <c r="Z53" s="3">
        <v>5</v>
      </c>
      <c r="AA53" s="3">
        <v>4</v>
      </c>
      <c r="AB53" s="3">
        <v>5</v>
      </c>
      <c r="AC53" s="3"/>
    </row>
    <row r="54" spans="1:29" x14ac:dyDescent="0.25">
      <c r="A54" s="3" t="s">
        <v>31</v>
      </c>
      <c r="B54" s="6">
        <v>45925</v>
      </c>
      <c r="C54" s="86">
        <v>0.625</v>
      </c>
      <c r="D54" s="91">
        <v>78</v>
      </c>
      <c r="E54" s="7">
        <f>VLOOKUP(Table1[[#This Row],[Course]],A:B,2,FALSE)</f>
        <v>70</v>
      </c>
      <c r="F54" s="4">
        <f t="shared" si="9"/>
        <v>18</v>
      </c>
      <c r="G54" s="4">
        <f>Table1[[#This Row],[TOTAL]]-Table1[[#This Row],[PAR]]</f>
        <v>9</v>
      </c>
      <c r="H54" s="5">
        <f t="shared" si="10"/>
        <v>79</v>
      </c>
      <c r="I54" s="5">
        <f t="shared" si="11"/>
        <v>39</v>
      </c>
      <c r="J54" s="5">
        <f t="shared" si="12"/>
        <v>40</v>
      </c>
      <c r="K54" s="3">
        <v>4</v>
      </c>
      <c r="L54" s="3">
        <v>4</v>
      </c>
      <c r="M54" s="3">
        <v>4</v>
      </c>
      <c r="N54" s="3">
        <v>5</v>
      </c>
      <c r="O54" s="3">
        <v>5</v>
      </c>
      <c r="P54" s="3">
        <v>4</v>
      </c>
      <c r="Q54" s="3">
        <v>4</v>
      </c>
      <c r="R54" s="3">
        <v>3</v>
      </c>
      <c r="S54" s="3">
        <v>6</v>
      </c>
      <c r="T54" s="3">
        <v>6</v>
      </c>
      <c r="U54" s="3">
        <v>6</v>
      </c>
      <c r="V54" s="3">
        <v>3</v>
      </c>
      <c r="W54" s="3">
        <v>4</v>
      </c>
      <c r="X54" s="3">
        <v>4</v>
      </c>
      <c r="Y54" s="3">
        <v>5</v>
      </c>
      <c r="Z54" s="3">
        <v>3</v>
      </c>
      <c r="AA54" s="3">
        <v>5</v>
      </c>
      <c r="AB54" s="3">
        <v>4</v>
      </c>
      <c r="AC54" s="3"/>
    </row>
    <row r="55" spans="1:29" x14ac:dyDescent="0.25">
      <c r="A55" s="3" t="s">
        <v>56</v>
      </c>
      <c r="B55" s="6">
        <v>45928</v>
      </c>
      <c r="C55" s="86">
        <v>0.625</v>
      </c>
      <c r="D55" s="91">
        <v>71</v>
      </c>
      <c r="E55" s="7">
        <f>VLOOKUP(Table1[[#This Row],[Course]],A:B,2,FALSE)</f>
        <v>72</v>
      </c>
      <c r="F55" s="4">
        <f>COUNTIF(K55:AB55,"&gt;=0") - COUNTIF(K55:AB55,"*[^0-9.]*")</f>
        <v>18</v>
      </c>
      <c r="G55" s="4">
        <f>Table1[[#This Row],[TOTAL]]-Table1[[#This Row],[PAR]]</f>
        <v>19</v>
      </c>
      <c r="H55" s="5">
        <f>J55+I55</f>
        <v>91</v>
      </c>
      <c r="I55" s="5">
        <f>SUM(K55:S55)</f>
        <v>47</v>
      </c>
      <c r="J55" s="5">
        <f t="shared" si="12"/>
        <v>44</v>
      </c>
      <c r="K55" s="3">
        <v>6</v>
      </c>
      <c r="L55" s="3">
        <v>6</v>
      </c>
      <c r="M55" s="3">
        <v>6</v>
      </c>
      <c r="N55" s="3">
        <v>5</v>
      </c>
      <c r="O55" s="3">
        <v>6</v>
      </c>
      <c r="P55" s="3">
        <v>4</v>
      </c>
      <c r="Q55" s="3">
        <v>5</v>
      </c>
      <c r="R55" s="3">
        <v>4</v>
      </c>
      <c r="S55" s="3">
        <v>5</v>
      </c>
      <c r="T55" s="3">
        <v>5</v>
      </c>
      <c r="U55" s="3">
        <v>4</v>
      </c>
      <c r="V55" s="3">
        <v>6</v>
      </c>
      <c r="W55" s="3">
        <v>6</v>
      </c>
      <c r="X55" s="3">
        <v>6</v>
      </c>
      <c r="Y55" s="3">
        <v>3</v>
      </c>
      <c r="Z55" s="3">
        <v>6</v>
      </c>
      <c r="AA55" s="3">
        <v>4</v>
      </c>
      <c r="AB55" s="3">
        <v>4</v>
      </c>
      <c r="AC55" s="3"/>
    </row>
    <row r="56" spans="1:29" x14ac:dyDescent="0.25">
      <c r="A56" s="3" t="s">
        <v>31</v>
      </c>
      <c r="B56" s="6">
        <v>45930</v>
      </c>
      <c r="C56" s="86">
        <v>0.625</v>
      </c>
      <c r="D56" s="91">
        <v>86</v>
      </c>
      <c r="E56" s="7">
        <f>VLOOKUP(Table1[[#This Row],[Course]],A:B,2,FALSE)</f>
        <v>70</v>
      </c>
      <c r="F56" s="4">
        <f t="shared" ref="F56" si="13">COUNTIF(K56:AB56,"&gt;=0") - COUNTIF(K56:AB56,"*[^0-9.]*")</f>
        <v>18</v>
      </c>
      <c r="G56" s="4">
        <f>Table1[[#This Row],[TOTAL]]-Table1[[#This Row],[PAR]]</f>
        <v>19</v>
      </c>
      <c r="H56" s="5">
        <f t="shared" ref="H56" si="14">J56+I56</f>
        <v>89</v>
      </c>
      <c r="I56" s="5">
        <f t="shared" ref="I56" si="15">SUM(K56:S56)</f>
        <v>42</v>
      </c>
      <c r="J56" s="5">
        <f t="shared" si="12"/>
        <v>47</v>
      </c>
      <c r="K56" s="3">
        <v>4</v>
      </c>
      <c r="L56" s="3">
        <v>4</v>
      </c>
      <c r="M56" s="3">
        <v>7</v>
      </c>
      <c r="N56" s="3">
        <v>3</v>
      </c>
      <c r="O56" s="3">
        <v>5</v>
      </c>
      <c r="P56" s="3">
        <v>4</v>
      </c>
      <c r="Q56" s="3">
        <v>6</v>
      </c>
      <c r="R56" s="3">
        <v>4</v>
      </c>
      <c r="S56" s="3">
        <v>5</v>
      </c>
      <c r="T56" s="3">
        <v>5</v>
      </c>
      <c r="U56" s="3">
        <v>6</v>
      </c>
      <c r="V56" s="3">
        <v>5</v>
      </c>
      <c r="W56" s="3">
        <v>6</v>
      </c>
      <c r="X56" s="3">
        <v>4</v>
      </c>
      <c r="Y56" s="3">
        <v>5</v>
      </c>
      <c r="Z56" s="3">
        <v>5</v>
      </c>
      <c r="AA56" s="3">
        <v>5</v>
      </c>
      <c r="AB56" s="3">
        <v>6</v>
      </c>
      <c r="AC56" s="3"/>
    </row>
    <row r="57" spans="1:29" x14ac:dyDescent="0.25">
      <c r="A57" s="3" t="s">
        <v>31</v>
      </c>
      <c r="B57" s="6">
        <v>45952</v>
      </c>
      <c r="C57" s="86">
        <v>0.625</v>
      </c>
      <c r="D57" s="91">
        <v>70</v>
      </c>
      <c r="E57" s="7">
        <f>VLOOKUP(Table1[[#This Row],[Course]],A:B,2,FALSE)</f>
        <v>70</v>
      </c>
      <c r="F57" s="4">
        <f t="shared" ref="F57:F59" si="16">COUNTIF(K57:AB57,"&gt;=0") - COUNTIF(K57:AB57,"*[^0-9.]*")</f>
        <v>18</v>
      </c>
      <c r="G57" s="4">
        <f>Table1[[#This Row],[TOTAL]]-Table1[[#This Row],[PAR]]</f>
        <v>15</v>
      </c>
      <c r="H57" s="5">
        <f t="shared" ref="H57:H59" si="17">J57+I57</f>
        <v>85</v>
      </c>
      <c r="I57" s="5">
        <f t="shared" ref="I57:I59" si="18">SUM(K57:S57)</f>
        <v>41</v>
      </c>
      <c r="J57" s="5">
        <f t="shared" si="12"/>
        <v>44</v>
      </c>
      <c r="K57" s="3">
        <v>5</v>
      </c>
      <c r="L57" s="3">
        <v>4</v>
      </c>
      <c r="M57" s="3">
        <v>5</v>
      </c>
      <c r="N57" s="3">
        <v>4</v>
      </c>
      <c r="O57" s="3">
        <v>5</v>
      </c>
      <c r="P57" s="3">
        <v>4</v>
      </c>
      <c r="Q57" s="3">
        <v>4</v>
      </c>
      <c r="R57" s="3">
        <v>4</v>
      </c>
      <c r="S57" s="3">
        <v>6</v>
      </c>
      <c r="T57" s="3">
        <v>4</v>
      </c>
      <c r="U57" s="3">
        <v>4</v>
      </c>
      <c r="V57" s="3">
        <v>4</v>
      </c>
      <c r="W57" s="3">
        <v>6</v>
      </c>
      <c r="X57" s="3">
        <v>4</v>
      </c>
      <c r="Y57" s="3">
        <v>8</v>
      </c>
      <c r="Z57" s="3">
        <v>3</v>
      </c>
      <c r="AA57" s="3">
        <v>4</v>
      </c>
      <c r="AB57" s="3">
        <v>7</v>
      </c>
      <c r="AC57" s="3"/>
    </row>
    <row r="58" spans="1:29" x14ac:dyDescent="0.25">
      <c r="A58" s="3" t="s">
        <v>28</v>
      </c>
      <c r="B58" s="6">
        <v>45968</v>
      </c>
      <c r="C58" s="86">
        <v>0.625</v>
      </c>
      <c r="D58" s="91">
        <v>55</v>
      </c>
      <c r="E58" s="7">
        <f>VLOOKUP(Table1[[#This Row],[Course]],A:B,2,FALSE)</f>
        <v>72</v>
      </c>
      <c r="F58" s="4">
        <f t="shared" si="16"/>
        <v>18</v>
      </c>
      <c r="G58" s="4">
        <f>Table1[[#This Row],[TOTAL]]-Table1[[#This Row],[PAR]]</f>
        <v>27</v>
      </c>
      <c r="H58" s="5">
        <f t="shared" si="17"/>
        <v>99</v>
      </c>
      <c r="I58" s="5">
        <f t="shared" si="18"/>
        <v>49</v>
      </c>
      <c r="J58" s="5">
        <f t="shared" si="12"/>
        <v>50</v>
      </c>
      <c r="K58" s="3">
        <v>5</v>
      </c>
      <c r="L58" s="3">
        <v>5</v>
      </c>
      <c r="M58" s="3">
        <v>6</v>
      </c>
      <c r="N58" s="3">
        <v>7</v>
      </c>
      <c r="O58" s="3">
        <v>3</v>
      </c>
      <c r="P58" s="3">
        <v>6</v>
      </c>
      <c r="Q58" s="3">
        <v>6</v>
      </c>
      <c r="R58" s="3">
        <v>6</v>
      </c>
      <c r="S58" s="3">
        <v>5</v>
      </c>
      <c r="T58" s="3">
        <v>5</v>
      </c>
      <c r="U58" s="3">
        <v>6</v>
      </c>
      <c r="V58" s="3">
        <v>6</v>
      </c>
      <c r="W58" s="3">
        <v>2</v>
      </c>
      <c r="X58" s="3">
        <v>6</v>
      </c>
      <c r="Y58" s="3">
        <v>9</v>
      </c>
      <c r="Z58" s="3">
        <v>8</v>
      </c>
      <c r="AA58" s="3">
        <v>3</v>
      </c>
      <c r="AB58" s="3">
        <v>5</v>
      </c>
      <c r="AC58" s="3"/>
    </row>
    <row r="59" spans="1:29" x14ac:dyDescent="0.25">
      <c r="A59" s="3" t="s">
        <v>3</v>
      </c>
      <c r="B59" s="6">
        <v>45969</v>
      </c>
      <c r="C59" s="86">
        <v>0.625</v>
      </c>
      <c r="D59" s="91">
        <v>51</v>
      </c>
      <c r="E59" s="7">
        <f>VLOOKUP(Table1[[#This Row],[Course]],A:B,2,FALSE)</f>
        <v>72</v>
      </c>
      <c r="F59" s="4">
        <f t="shared" si="16"/>
        <v>18</v>
      </c>
      <c r="G59" s="4">
        <f>Table1[[#This Row],[TOTAL]]-Table1[[#This Row],[PAR]]</f>
        <v>29</v>
      </c>
      <c r="H59" s="5">
        <f t="shared" si="17"/>
        <v>101</v>
      </c>
      <c r="I59" s="5">
        <f t="shared" si="18"/>
        <v>50</v>
      </c>
      <c r="J59" s="5">
        <f t="shared" si="12"/>
        <v>51</v>
      </c>
      <c r="K59" s="3">
        <v>5</v>
      </c>
      <c r="L59" s="3">
        <v>7</v>
      </c>
      <c r="M59" s="3">
        <v>7</v>
      </c>
      <c r="N59" s="3">
        <v>4</v>
      </c>
      <c r="O59" s="3">
        <v>4</v>
      </c>
      <c r="P59" s="3">
        <v>5</v>
      </c>
      <c r="Q59" s="3">
        <v>6</v>
      </c>
      <c r="R59" s="3">
        <v>8</v>
      </c>
      <c r="S59" s="3">
        <v>4</v>
      </c>
      <c r="T59" s="3">
        <v>6</v>
      </c>
      <c r="U59" s="3">
        <v>4</v>
      </c>
      <c r="V59" s="3">
        <v>6</v>
      </c>
      <c r="W59" s="3">
        <v>6</v>
      </c>
      <c r="X59" s="3">
        <v>3</v>
      </c>
      <c r="Y59" s="3">
        <v>5</v>
      </c>
      <c r="Z59" s="3">
        <v>7</v>
      </c>
      <c r="AA59" s="3">
        <v>7</v>
      </c>
      <c r="AB59" s="3">
        <v>7</v>
      </c>
      <c r="AC59" s="3"/>
    </row>
    <row r="60" spans="1:29" x14ac:dyDescent="0.25">
      <c r="A60" s="3" t="s">
        <v>57</v>
      </c>
      <c r="B60" s="6">
        <v>45975</v>
      </c>
      <c r="C60" s="86">
        <v>0.625</v>
      </c>
      <c r="D60" s="91">
        <v>66</v>
      </c>
      <c r="E60" s="7">
        <f>VLOOKUP(Table1[[#This Row],[Course]],A:B,2,FALSE)</f>
        <v>72</v>
      </c>
      <c r="F60" s="4">
        <f t="shared" ref="F60:F64" si="19">COUNTIF(K60:AB60,"&gt;=0") - COUNTIF(K60:AB60,"*[^0-9.]*")</f>
        <v>18</v>
      </c>
      <c r="G60" s="4">
        <f>Table1[[#This Row],[TOTAL]]-Table1[[#This Row],[PAR]]</f>
        <v>24</v>
      </c>
      <c r="H60" s="5">
        <f>J60+I60</f>
        <v>96</v>
      </c>
      <c r="I60" s="5">
        <f>SUM(K60:S60)</f>
        <v>46</v>
      </c>
      <c r="J60" s="5">
        <f t="shared" si="12"/>
        <v>50</v>
      </c>
      <c r="K60" s="3">
        <v>6</v>
      </c>
      <c r="L60" s="3">
        <v>6</v>
      </c>
      <c r="M60" s="3">
        <v>4</v>
      </c>
      <c r="N60" s="3">
        <v>4</v>
      </c>
      <c r="O60" s="3">
        <v>4</v>
      </c>
      <c r="P60" s="3">
        <v>4</v>
      </c>
      <c r="Q60" s="3">
        <v>6</v>
      </c>
      <c r="R60" s="3">
        <v>6</v>
      </c>
      <c r="S60" s="3">
        <v>6</v>
      </c>
      <c r="T60" s="3">
        <v>5</v>
      </c>
      <c r="U60" s="3">
        <v>6</v>
      </c>
      <c r="V60" s="3">
        <v>4</v>
      </c>
      <c r="W60" s="3">
        <v>6</v>
      </c>
      <c r="X60" s="3">
        <v>6</v>
      </c>
      <c r="Y60" s="3">
        <v>6</v>
      </c>
      <c r="Z60" s="3">
        <v>6</v>
      </c>
      <c r="AA60" s="3">
        <v>5</v>
      </c>
      <c r="AB60" s="3">
        <v>6</v>
      </c>
      <c r="AC60" s="3"/>
    </row>
    <row r="61" spans="1:29" x14ac:dyDescent="0.25">
      <c r="A61" s="3" t="s">
        <v>31</v>
      </c>
      <c r="B61" s="6">
        <v>46003</v>
      </c>
      <c r="C61" s="86">
        <v>0.625</v>
      </c>
      <c r="D61" s="91">
        <v>53</v>
      </c>
      <c r="E61" s="7">
        <f>VLOOKUP(Table1[[#This Row],[Course]],A:B,2,FALSE)</f>
        <v>70</v>
      </c>
      <c r="F61" s="4">
        <f t="shared" si="19"/>
        <v>18</v>
      </c>
      <c r="G61" s="4">
        <f>Table1[[#This Row],[TOTAL]]-Table1[[#This Row],[PAR]]</f>
        <v>44</v>
      </c>
      <c r="H61" s="5">
        <f t="shared" ref="H61:H64" si="20">J61+I61</f>
        <v>114</v>
      </c>
      <c r="I61" s="5">
        <f t="shared" ref="I61:I64" si="21">SUM(K61:S61)</f>
        <v>51</v>
      </c>
      <c r="J61" s="5">
        <f t="shared" ref="J61:J64" si="22">SUM(T61:AB61)</f>
        <v>63</v>
      </c>
      <c r="K61" s="3">
        <v>6</v>
      </c>
      <c r="L61" s="3">
        <v>6</v>
      </c>
      <c r="M61" s="3">
        <v>6</v>
      </c>
      <c r="N61" s="3">
        <v>4</v>
      </c>
      <c r="O61" s="3">
        <v>7</v>
      </c>
      <c r="P61" s="3">
        <v>5</v>
      </c>
      <c r="Q61" s="3">
        <v>7</v>
      </c>
      <c r="R61" s="3">
        <v>4</v>
      </c>
      <c r="S61" s="3">
        <v>6</v>
      </c>
      <c r="T61" s="3">
        <v>8</v>
      </c>
      <c r="U61" s="3">
        <v>6</v>
      </c>
      <c r="V61" s="3">
        <v>4</v>
      </c>
      <c r="W61" s="3">
        <v>5</v>
      </c>
      <c r="X61" s="3">
        <v>9</v>
      </c>
      <c r="Y61" s="3">
        <v>8</v>
      </c>
      <c r="Z61" s="3">
        <v>8</v>
      </c>
      <c r="AA61" s="3">
        <v>9</v>
      </c>
      <c r="AB61" s="3">
        <v>6</v>
      </c>
      <c r="AC61" s="3" t="s">
        <v>90</v>
      </c>
    </row>
    <row r="62" spans="1:29" x14ac:dyDescent="0.25">
      <c r="A62" s="3" t="s">
        <v>3</v>
      </c>
      <c r="B62" s="6">
        <v>46004</v>
      </c>
      <c r="C62" s="86">
        <v>0.625</v>
      </c>
      <c r="D62" s="91">
        <v>45</v>
      </c>
      <c r="E62" s="7">
        <f>VLOOKUP(Table1[[#This Row],[Course]],A:B,2,FALSE)</f>
        <v>72</v>
      </c>
      <c r="F62" s="4">
        <f t="shared" si="19"/>
        <v>18</v>
      </c>
      <c r="G62" s="4">
        <f>Table1[[#This Row],[TOTAL]]-Table1[[#This Row],[PAR]]</f>
        <v>27</v>
      </c>
      <c r="H62" s="5">
        <f t="shared" si="20"/>
        <v>99</v>
      </c>
      <c r="I62" s="5">
        <f t="shared" si="21"/>
        <v>48</v>
      </c>
      <c r="J62" s="5">
        <f t="shared" si="22"/>
        <v>51</v>
      </c>
      <c r="K62" s="3">
        <v>5</v>
      </c>
      <c r="L62" s="3">
        <v>5</v>
      </c>
      <c r="M62" s="3">
        <v>6</v>
      </c>
      <c r="N62" s="3">
        <v>5</v>
      </c>
      <c r="O62" s="3">
        <v>6</v>
      </c>
      <c r="P62" s="3">
        <v>5</v>
      </c>
      <c r="Q62" s="3">
        <v>4</v>
      </c>
      <c r="R62" s="3">
        <v>4</v>
      </c>
      <c r="S62" s="3">
        <v>8</v>
      </c>
      <c r="T62" s="3">
        <v>6</v>
      </c>
      <c r="U62" s="3">
        <v>6</v>
      </c>
      <c r="V62" s="3">
        <v>4</v>
      </c>
      <c r="W62" s="3">
        <v>4</v>
      </c>
      <c r="X62" s="3">
        <v>5</v>
      </c>
      <c r="Y62" s="3">
        <v>5</v>
      </c>
      <c r="Z62" s="3">
        <v>6</v>
      </c>
      <c r="AA62" s="3">
        <v>9</v>
      </c>
      <c r="AB62" s="3">
        <v>6</v>
      </c>
      <c r="AC62" s="3" t="s">
        <v>91</v>
      </c>
    </row>
    <row r="63" spans="1:29" x14ac:dyDescent="0.25">
      <c r="A63" s="3" t="s">
        <v>30</v>
      </c>
      <c r="B63" s="6">
        <v>46010</v>
      </c>
      <c r="C63" s="86">
        <v>0.625</v>
      </c>
      <c r="D63" s="91">
        <v>46</v>
      </c>
      <c r="E63" s="7">
        <f>VLOOKUP(Table1[[#This Row],[Course]],A:B,2,FALSE)</f>
        <v>72</v>
      </c>
      <c r="F63" s="4">
        <f t="shared" si="19"/>
        <v>18</v>
      </c>
      <c r="G63" s="4">
        <f>Table1[[#This Row],[TOTAL]]-Table1[[#This Row],[PAR]]</f>
        <v>32</v>
      </c>
      <c r="H63" s="5">
        <f t="shared" si="20"/>
        <v>104</v>
      </c>
      <c r="I63" s="5">
        <f t="shared" si="21"/>
        <v>52</v>
      </c>
      <c r="J63" s="5">
        <f t="shared" si="22"/>
        <v>52</v>
      </c>
      <c r="K63" s="3">
        <v>6</v>
      </c>
      <c r="L63" s="3">
        <v>6</v>
      </c>
      <c r="M63" s="3">
        <v>5</v>
      </c>
      <c r="N63" s="3">
        <v>6</v>
      </c>
      <c r="O63" s="3">
        <v>5</v>
      </c>
      <c r="P63" s="3">
        <v>5</v>
      </c>
      <c r="Q63" s="3">
        <v>5</v>
      </c>
      <c r="R63" s="3">
        <v>9</v>
      </c>
      <c r="S63" s="3">
        <v>5</v>
      </c>
      <c r="T63" s="3">
        <v>5</v>
      </c>
      <c r="U63" s="3">
        <v>7</v>
      </c>
      <c r="V63" s="3">
        <v>9</v>
      </c>
      <c r="W63" s="3">
        <v>4</v>
      </c>
      <c r="X63" s="3">
        <v>6</v>
      </c>
      <c r="Y63" s="3">
        <v>3</v>
      </c>
      <c r="Z63" s="3">
        <v>5</v>
      </c>
      <c r="AA63" s="3">
        <v>9</v>
      </c>
      <c r="AB63" s="3">
        <v>4</v>
      </c>
      <c r="AC63" s="3" t="s">
        <v>135</v>
      </c>
    </row>
    <row r="64" spans="1:29" x14ac:dyDescent="0.25">
      <c r="A64" s="3" t="s">
        <v>28</v>
      </c>
      <c r="B64" s="6">
        <v>46011</v>
      </c>
      <c r="C64" s="86">
        <v>0.29166666666666669</v>
      </c>
      <c r="D64" s="91">
        <v>52</v>
      </c>
      <c r="E64" s="7">
        <f>VLOOKUP(Table1[[#This Row],[Course]],A:B,2,FALSE)</f>
        <v>72</v>
      </c>
      <c r="F64" s="4">
        <f t="shared" si="19"/>
        <v>18</v>
      </c>
      <c r="G64" s="4">
        <f>Table1[[#This Row],[TOTAL]]-Table1[[#This Row],[PAR]]</f>
        <v>22</v>
      </c>
      <c r="H64" s="5">
        <f t="shared" si="20"/>
        <v>94</v>
      </c>
      <c r="I64" s="5">
        <f t="shared" si="21"/>
        <v>47</v>
      </c>
      <c r="J64" s="5">
        <f t="shared" si="22"/>
        <v>47</v>
      </c>
      <c r="K64" s="3">
        <v>5</v>
      </c>
      <c r="L64" s="3">
        <v>6</v>
      </c>
      <c r="M64" s="3">
        <v>5</v>
      </c>
      <c r="N64" s="3">
        <v>5</v>
      </c>
      <c r="O64" s="3">
        <v>6</v>
      </c>
      <c r="P64" s="3">
        <v>5</v>
      </c>
      <c r="Q64" s="3">
        <v>5</v>
      </c>
      <c r="R64" s="3">
        <v>6</v>
      </c>
      <c r="S64" s="3">
        <v>4</v>
      </c>
      <c r="T64" s="3">
        <v>6</v>
      </c>
      <c r="U64" s="3">
        <v>5</v>
      </c>
      <c r="V64" s="3">
        <v>5</v>
      </c>
      <c r="W64" s="3">
        <v>3</v>
      </c>
      <c r="X64" s="3">
        <v>6</v>
      </c>
      <c r="Y64" s="3">
        <v>6</v>
      </c>
      <c r="Z64" s="3">
        <v>7</v>
      </c>
      <c r="AA64" s="3">
        <v>4</v>
      </c>
      <c r="AB64" s="3">
        <v>5</v>
      </c>
      <c r="AC64" s="3" t="s">
        <v>136</v>
      </c>
    </row>
    <row r="65" spans="1:29" x14ac:dyDescent="0.25">
      <c r="A65" s="3" t="s">
        <v>28</v>
      </c>
      <c r="B65" s="6">
        <v>46014</v>
      </c>
      <c r="C65" s="86">
        <v>0.625</v>
      </c>
      <c r="D65" s="91">
        <v>45</v>
      </c>
      <c r="E65" s="7">
        <f>VLOOKUP(Table1[[#This Row],[Course]],A:B,2,FALSE)</f>
        <v>72</v>
      </c>
      <c r="F65" s="4">
        <f t="shared" ref="F65:F66" si="23">COUNTIF(K65:AB65,"&gt;=0") - COUNTIF(K65:AB65,"*[^0-9.]*")</f>
        <v>6</v>
      </c>
      <c r="G65" s="4">
        <f>Table1[[#This Row],[TOTAL]]-Table1[[#This Row],[PAR]]</f>
        <v>97</v>
      </c>
      <c r="H65" s="5">
        <f t="shared" ref="H65:H66" si="24">J65+I65</f>
        <v>169</v>
      </c>
      <c r="I65" s="5">
        <v>79</v>
      </c>
      <c r="J65" s="5">
        <v>90</v>
      </c>
      <c r="K65" s="3">
        <v>4</v>
      </c>
      <c r="L65" s="3">
        <v>4</v>
      </c>
      <c r="M65" s="3">
        <v>4</v>
      </c>
      <c r="N65" s="3">
        <v>5</v>
      </c>
      <c r="O65" s="3">
        <v>5</v>
      </c>
      <c r="P65" s="3">
        <v>7</v>
      </c>
      <c r="Q65" s="57" t="s">
        <v>26</v>
      </c>
      <c r="R65" s="57" t="s">
        <v>26</v>
      </c>
      <c r="S65" s="57" t="s">
        <v>26</v>
      </c>
      <c r="T65" s="57" t="s">
        <v>26</v>
      </c>
      <c r="U65" s="57" t="s">
        <v>26</v>
      </c>
      <c r="V65" s="57" t="s">
        <v>26</v>
      </c>
      <c r="W65" s="57" t="s">
        <v>26</v>
      </c>
      <c r="X65" s="57" t="s">
        <v>26</v>
      </c>
      <c r="Y65" s="57" t="s">
        <v>26</v>
      </c>
      <c r="Z65" s="57" t="s">
        <v>26</v>
      </c>
      <c r="AA65" s="57" t="s">
        <v>26</v>
      </c>
      <c r="AB65" s="57" t="s">
        <v>26</v>
      </c>
      <c r="AC65" s="3" t="s">
        <v>148</v>
      </c>
    </row>
    <row r="66" spans="1:29" x14ac:dyDescent="0.25">
      <c r="A66" s="3" t="s">
        <v>3</v>
      </c>
      <c r="B66" s="6">
        <v>46017</v>
      </c>
      <c r="C66" s="86">
        <v>0.625</v>
      </c>
      <c r="D66" s="91">
        <v>39</v>
      </c>
      <c r="E66" s="7">
        <f>VLOOKUP(Table1[[#This Row],[Course]],A:B,2,FALSE)</f>
        <v>72</v>
      </c>
      <c r="F66" s="4">
        <f t="shared" si="23"/>
        <v>18</v>
      </c>
      <c r="G66" s="4">
        <f>Table1[[#This Row],[TOTAL]]-Table1[[#This Row],[PAR]]</f>
        <v>9</v>
      </c>
      <c r="H66" s="5">
        <f t="shared" si="24"/>
        <v>81</v>
      </c>
      <c r="I66" s="5">
        <f t="shared" ref="I66" si="25">SUM(K66:S66)</f>
        <v>39</v>
      </c>
      <c r="J66" s="5">
        <f t="shared" ref="J66" si="26">SUM(T66:AB66)</f>
        <v>42</v>
      </c>
      <c r="K66" s="3">
        <v>5</v>
      </c>
      <c r="L66" s="3">
        <v>4</v>
      </c>
      <c r="M66" s="3">
        <v>5</v>
      </c>
      <c r="N66" s="3">
        <v>3</v>
      </c>
      <c r="O66" s="3">
        <v>5</v>
      </c>
      <c r="P66" s="3">
        <v>6</v>
      </c>
      <c r="Q66" s="3">
        <v>3</v>
      </c>
      <c r="R66" s="3">
        <v>3</v>
      </c>
      <c r="S66" s="3">
        <v>5</v>
      </c>
      <c r="T66" s="3">
        <v>4</v>
      </c>
      <c r="U66" s="3">
        <v>5</v>
      </c>
      <c r="V66" s="3">
        <v>4</v>
      </c>
      <c r="W66" s="3">
        <v>4</v>
      </c>
      <c r="X66" s="3">
        <v>3</v>
      </c>
      <c r="Y66" s="3">
        <v>5</v>
      </c>
      <c r="Z66" s="3">
        <v>6</v>
      </c>
      <c r="AA66" s="3">
        <v>6</v>
      </c>
      <c r="AB66" s="3">
        <v>5</v>
      </c>
      <c r="AC66" s="3" t="s">
        <v>149</v>
      </c>
    </row>
    <row r="67" spans="1:29" ht="19.5" customHeight="1" x14ac:dyDescent="0.25">
      <c r="A67" s="3" t="s">
        <v>150</v>
      </c>
      <c r="B67" s="6">
        <v>46025</v>
      </c>
      <c r="C67" s="86">
        <v>0.58333333333333337</v>
      </c>
      <c r="D67" s="91">
        <v>51</v>
      </c>
      <c r="E67" s="7">
        <f>VLOOKUP(Table1[[#This Row],[Course]],A:B,2,FALSE)</f>
        <v>71</v>
      </c>
      <c r="F67" s="4">
        <f>COUNTIF(K67:AB67,"&gt;=0") - COUNTIF(K67:AB67,"*[^0-9.]*")</f>
        <v>18</v>
      </c>
      <c r="G67" s="4">
        <f>Table1[[#This Row],[TOTAL]]-Table1[[#This Row],[PAR]]</f>
        <v>10</v>
      </c>
      <c r="H67" s="5">
        <f>J67+I67</f>
        <v>81</v>
      </c>
      <c r="I67" s="5">
        <f>SUM(K67:S67)</f>
        <v>40</v>
      </c>
      <c r="J67" s="5">
        <f>SUM(T67:AB67)</f>
        <v>41</v>
      </c>
      <c r="K67" s="3">
        <v>4</v>
      </c>
      <c r="L67" s="3">
        <v>5</v>
      </c>
      <c r="M67" s="3">
        <v>7</v>
      </c>
      <c r="N67" s="3">
        <v>1</v>
      </c>
      <c r="O67" s="3">
        <v>5</v>
      </c>
      <c r="P67" s="3">
        <v>4</v>
      </c>
      <c r="Q67" s="3">
        <v>4</v>
      </c>
      <c r="R67" s="3">
        <v>5</v>
      </c>
      <c r="S67" s="3">
        <v>5</v>
      </c>
      <c r="T67" s="3">
        <v>5</v>
      </c>
      <c r="U67" s="3">
        <v>4</v>
      </c>
      <c r="V67" s="3">
        <v>3</v>
      </c>
      <c r="W67" s="3">
        <v>6</v>
      </c>
      <c r="X67" s="3">
        <v>5</v>
      </c>
      <c r="Y67" s="3">
        <v>5</v>
      </c>
      <c r="Z67" s="3">
        <v>6</v>
      </c>
      <c r="AA67" s="3">
        <v>2</v>
      </c>
      <c r="AB67" s="3">
        <v>5</v>
      </c>
      <c r="AC67" s="3"/>
    </row>
    <row r="68" spans="1:29" x14ac:dyDescent="0.25">
      <c r="A68" s="3" t="s">
        <v>28</v>
      </c>
      <c r="B68" s="6">
        <v>46031</v>
      </c>
      <c r="C68" s="86">
        <v>0.58333333333333337</v>
      </c>
      <c r="D68" s="91">
        <v>41</v>
      </c>
      <c r="E68" s="7">
        <f>VLOOKUP(Table1[[#This Row],[Course]],A:B,2,FALSE)</f>
        <v>72</v>
      </c>
      <c r="F68" s="4">
        <f t="shared" ref="F68:F69" si="27">COUNTIF(K68:AB68,"&gt;=0") - COUNTIF(K68:AB68,"*[^0-9.]*")</f>
        <v>18</v>
      </c>
      <c r="G68" s="4">
        <f>Table1[[#This Row],[TOTAL]]-Table1[[#This Row],[PAR]]</f>
        <v>26</v>
      </c>
      <c r="H68" s="5">
        <f t="shared" ref="H68" si="28">J68+I68</f>
        <v>98</v>
      </c>
      <c r="I68" s="5">
        <f t="shared" ref="I68" si="29">SUM(K68:S68)</f>
        <v>47</v>
      </c>
      <c r="J68" s="5">
        <f t="shared" ref="J68" si="30">SUM(T68:AB68)</f>
        <v>51</v>
      </c>
      <c r="K68" s="3">
        <v>7</v>
      </c>
      <c r="L68" s="3">
        <v>6</v>
      </c>
      <c r="M68" s="3">
        <v>6</v>
      </c>
      <c r="N68" s="3">
        <v>6</v>
      </c>
      <c r="O68" s="3">
        <v>5</v>
      </c>
      <c r="P68" s="3">
        <v>4</v>
      </c>
      <c r="Q68" s="3">
        <v>3</v>
      </c>
      <c r="R68" s="3">
        <v>6</v>
      </c>
      <c r="S68" s="3">
        <v>4</v>
      </c>
      <c r="T68" s="3">
        <v>6</v>
      </c>
      <c r="U68" s="3">
        <v>4</v>
      </c>
      <c r="V68" s="3">
        <v>6</v>
      </c>
      <c r="W68" s="3">
        <v>10</v>
      </c>
      <c r="X68" s="3">
        <v>5</v>
      </c>
      <c r="Y68" s="3">
        <v>4</v>
      </c>
      <c r="Z68" s="3">
        <v>7</v>
      </c>
      <c r="AA68" s="3">
        <v>3</v>
      </c>
      <c r="AB68" s="3">
        <v>6</v>
      </c>
      <c r="AC68" s="3"/>
    </row>
    <row r="69" spans="1:29" x14ac:dyDescent="0.25">
      <c r="A69" s="3" t="s">
        <v>3</v>
      </c>
      <c r="B69" s="6">
        <v>46032</v>
      </c>
      <c r="C69" s="86">
        <v>0.58333333333333337</v>
      </c>
      <c r="D69" s="91">
        <v>40</v>
      </c>
      <c r="E69" s="7">
        <f>VLOOKUP(Table1[[#This Row],[Course]],A:B,2,FALSE)</f>
        <v>72</v>
      </c>
      <c r="F69" s="4">
        <f t="shared" si="27"/>
        <v>18</v>
      </c>
      <c r="G69" s="4">
        <f>Table1[[#This Row],[TOTAL]]-Table1[[#This Row],[PAR]]</f>
        <v>23</v>
      </c>
      <c r="H69" s="5">
        <f t="shared" ref="H69:H72" si="31">J69+I69</f>
        <v>95</v>
      </c>
      <c r="I69" s="5">
        <f t="shared" ref="I69:I72" si="32">SUM(K69:S69)</f>
        <v>48</v>
      </c>
      <c r="J69" s="5">
        <f t="shared" ref="J69:J72" si="33">SUM(T69:AB69)</f>
        <v>47</v>
      </c>
      <c r="K69" s="3">
        <v>5</v>
      </c>
      <c r="L69" s="3">
        <v>5</v>
      </c>
      <c r="M69" s="3">
        <v>6</v>
      </c>
      <c r="N69" s="3">
        <v>4</v>
      </c>
      <c r="O69" s="3">
        <v>6</v>
      </c>
      <c r="P69" s="3">
        <v>7</v>
      </c>
      <c r="Q69" s="57">
        <v>4</v>
      </c>
      <c r="R69" s="57">
        <v>5</v>
      </c>
      <c r="S69" s="57">
        <v>6</v>
      </c>
      <c r="T69" s="57">
        <v>5</v>
      </c>
      <c r="U69" s="57">
        <v>6</v>
      </c>
      <c r="V69" s="57">
        <v>4</v>
      </c>
      <c r="W69" s="57">
        <v>5</v>
      </c>
      <c r="X69" s="57">
        <v>3</v>
      </c>
      <c r="Y69" s="57">
        <v>5</v>
      </c>
      <c r="Z69" s="57">
        <v>6</v>
      </c>
      <c r="AA69" s="57">
        <v>6</v>
      </c>
      <c r="AB69" s="57">
        <v>7</v>
      </c>
      <c r="AC69" s="3" t="s">
        <v>151</v>
      </c>
    </row>
    <row r="70" spans="1:29" x14ac:dyDescent="0.25">
      <c r="A70" s="3" t="s">
        <v>28</v>
      </c>
      <c r="B70" s="6">
        <v>46038</v>
      </c>
      <c r="C70" s="86">
        <v>0.58333333333333337</v>
      </c>
      <c r="D70" s="91">
        <v>45</v>
      </c>
      <c r="E70" s="7">
        <f>VLOOKUP(Table1[[#This Row],[Course]],A:B,2,FALSE)</f>
        <v>72</v>
      </c>
      <c r="F70" s="4">
        <f t="shared" ref="F70:F72" si="34">COUNTIF(K70:AB70,"&gt;=0") - COUNTIF(K70:AB70,"*[^0-9.]*")</f>
        <v>18</v>
      </c>
      <c r="G70" s="4">
        <f>Table1[[#This Row],[TOTAL]]-Table1[[#This Row],[PAR]]</f>
        <v>13</v>
      </c>
      <c r="H70" s="5">
        <f t="shared" si="31"/>
        <v>85</v>
      </c>
      <c r="I70" s="5">
        <f t="shared" si="32"/>
        <v>41</v>
      </c>
      <c r="J70" s="5">
        <f t="shared" si="33"/>
        <v>44</v>
      </c>
      <c r="K70" s="3">
        <v>5</v>
      </c>
      <c r="L70" s="3">
        <v>4</v>
      </c>
      <c r="M70" s="3">
        <v>5</v>
      </c>
      <c r="N70" s="3">
        <v>5</v>
      </c>
      <c r="O70" s="3">
        <v>4</v>
      </c>
      <c r="P70" s="3">
        <v>6</v>
      </c>
      <c r="Q70" s="3">
        <v>3</v>
      </c>
      <c r="R70" s="3">
        <v>5</v>
      </c>
      <c r="S70" s="3">
        <v>4</v>
      </c>
      <c r="T70" s="3">
        <v>5</v>
      </c>
      <c r="U70" s="3">
        <v>6</v>
      </c>
      <c r="V70" s="3">
        <v>5</v>
      </c>
      <c r="W70" s="3">
        <v>5</v>
      </c>
      <c r="X70" s="3">
        <v>4</v>
      </c>
      <c r="Y70" s="3">
        <v>5</v>
      </c>
      <c r="Z70" s="3">
        <v>6</v>
      </c>
      <c r="AA70" s="3">
        <v>4</v>
      </c>
      <c r="AB70" s="3">
        <v>4</v>
      </c>
      <c r="AC70" s="3" t="s">
        <v>154</v>
      </c>
    </row>
    <row r="71" spans="1:29" x14ac:dyDescent="0.25">
      <c r="A71" s="3" t="s">
        <v>28</v>
      </c>
      <c r="B71" s="6">
        <v>46041</v>
      </c>
      <c r="C71" s="86">
        <v>0.58333333333333337</v>
      </c>
      <c r="D71" s="91">
        <v>52</v>
      </c>
      <c r="E71" s="7">
        <f>VLOOKUP(Table1[[#This Row],[Course]],A:B,2,FALSE)</f>
        <v>72</v>
      </c>
      <c r="F71" s="4">
        <f t="shared" si="34"/>
        <v>18</v>
      </c>
      <c r="G71" s="4">
        <f>Table1[[#This Row],[TOTAL]]-Table1[[#This Row],[PAR]]</f>
        <v>20</v>
      </c>
      <c r="H71" s="5">
        <f t="shared" si="31"/>
        <v>92</v>
      </c>
      <c r="I71" s="5">
        <f t="shared" si="32"/>
        <v>44</v>
      </c>
      <c r="J71" s="5">
        <f t="shared" si="33"/>
        <v>48</v>
      </c>
      <c r="K71" s="3">
        <v>5</v>
      </c>
      <c r="L71" s="3">
        <v>5</v>
      </c>
      <c r="M71" s="3">
        <v>5</v>
      </c>
      <c r="N71" s="3">
        <v>6</v>
      </c>
      <c r="O71" s="3">
        <v>4</v>
      </c>
      <c r="P71" s="3">
        <v>6</v>
      </c>
      <c r="Q71" s="3">
        <v>2</v>
      </c>
      <c r="R71" s="3">
        <v>5</v>
      </c>
      <c r="S71" s="3">
        <v>6</v>
      </c>
      <c r="T71" s="3">
        <v>10</v>
      </c>
      <c r="U71" s="3">
        <v>5</v>
      </c>
      <c r="V71" s="3">
        <v>6</v>
      </c>
      <c r="W71" s="3">
        <v>5</v>
      </c>
      <c r="X71" s="3">
        <v>6</v>
      </c>
      <c r="Y71" s="3">
        <v>5</v>
      </c>
      <c r="Z71" s="3">
        <v>4</v>
      </c>
      <c r="AA71" s="3">
        <v>4</v>
      </c>
      <c r="AB71" s="3">
        <v>3</v>
      </c>
      <c r="AC71" s="3" t="s">
        <v>153</v>
      </c>
    </row>
    <row r="72" spans="1:29" x14ac:dyDescent="0.25">
      <c r="A72" s="3" t="s">
        <v>31</v>
      </c>
      <c r="B72" s="6">
        <v>46058</v>
      </c>
      <c r="C72" s="86">
        <v>0.58333333333333337</v>
      </c>
      <c r="D72" s="91">
        <v>43</v>
      </c>
      <c r="E72" s="7">
        <f>VLOOKUP(Table1[[#This Row],[Course]],A:B,2,FALSE)</f>
        <v>70</v>
      </c>
      <c r="F72" s="4">
        <f t="shared" si="34"/>
        <v>18</v>
      </c>
      <c r="G72" s="4">
        <f>Table1[[#This Row],[TOTAL]]-Table1[[#This Row],[PAR]]</f>
        <v>39</v>
      </c>
      <c r="H72" s="5">
        <f t="shared" si="31"/>
        <v>109</v>
      </c>
      <c r="I72" s="5">
        <f t="shared" si="32"/>
        <v>56</v>
      </c>
      <c r="J72" s="5">
        <f t="shared" si="33"/>
        <v>53</v>
      </c>
      <c r="K72" s="3">
        <v>7</v>
      </c>
      <c r="L72" s="3">
        <v>7</v>
      </c>
      <c r="M72" s="3">
        <v>7</v>
      </c>
      <c r="N72" s="3">
        <v>3</v>
      </c>
      <c r="O72" s="3">
        <v>7</v>
      </c>
      <c r="P72" s="3">
        <v>5</v>
      </c>
      <c r="Q72" s="3">
        <v>10</v>
      </c>
      <c r="R72" s="3">
        <v>5</v>
      </c>
      <c r="S72" s="3">
        <v>5</v>
      </c>
      <c r="T72" s="3">
        <v>5</v>
      </c>
      <c r="U72" s="3">
        <v>6</v>
      </c>
      <c r="V72" s="3">
        <v>4</v>
      </c>
      <c r="W72" s="3">
        <v>4</v>
      </c>
      <c r="X72" s="3">
        <v>5</v>
      </c>
      <c r="Y72" s="3">
        <v>7</v>
      </c>
      <c r="Z72" s="3">
        <v>4</v>
      </c>
      <c r="AA72" s="3">
        <v>9</v>
      </c>
      <c r="AB72" s="3">
        <v>9</v>
      </c>
      <c r="AC72" s="3" t="s">
        <v>135</v>
      </c>
    </row>
    <row r="73" spans="1:29" x14ac:dyDescent="0.25">
      <c r="A73" s="3" t="s">
        <v>28</v>
      </c>
      <c r="B73" s="6">
        <v>46063</v>
      </c>
      <c r="C73" s="86">
        <v>0.29166666666666669</v>
      </c>
      <c r="D73" s="91">
        <v>57</v>
      </c>
      <c r="E73" s="7">
        <f>VLOOKUP(Table1[[#This Row],[Course]],A:B,2,FALSE)</f>
        <v>72</v>
      </c>
      <c r="F73" s="4">
        <f t="shared" ref="F73:F75" si="35">COUNTIF(K73:AB73,"&gt;=0") - COUNTIF(K73:AB73,"*[^0-9.]*")</f>
        <v>18</v>
      </c>
      <c r="G73" s="4">
        <f>Table1[[#This Row],[TOTAL]]-Table1[[#This Row],[PAR]]</f>
        <v>32</v>
      </c>
      <c r="H73" s="5">
        <f t="shared" ref="H73:H75" si="36">J73+I73</f>
        <v>104</v>
      </c>
      <c r="I73" s="5">
        <f t="shared" ref="I73:I75" si="37">SUM(K73:S73)</f>
        <v>54</v>
      </c>
      <c r="J73" s="5">
        <f t="shared" ref="J73:J75" si="38">SUM(T73:AB73)</f>
        <v>50</v>
      </c>
      <c r="K73" s="3">
        <v>4</v>
      </c>
      <c r="L73" s="3">
        <v>7</v>
      </c>
      <c r="M73" s="3">
        <v>6</v>
      </c>
      <c r="N73" s="3">
        <v>8</v>
      </c>
      <c r="O73" s="3">
        <v>4</v>
      </c>
      <c r="P73" s="3">
        <v>7</v>
      </c>
      <c r="Q73" s="3">
        <v>5</v>
      </c>
      <c r="R73" s="3">
        <v>7</v>
      </c>
      <c r="S73" s="3">
        <v>6</v>
      </c>
      <c r="T73" s="3">
        <v>5</v>
      </c>
      <c r="U73" s="3">
        <v>4</v>
      </c>
      <c r="V73" s="3">
        <v>5</v>
      </c>
      <c r="W73" s="3">
        <v>6</v>
      </c>
      <c r="X73" s="3">
        <v>5</v>
      </c>
      <c r="Y73" s="3">
        <v>8</v>
      </c>
      <c r="Z73" s="3">
        <v>8</v>
      </c>
      <c r="AA73" s="3">
        <v>4</v>
      </c>
      <c r="AB73" s="3">
        <v>5</v>
      </c>
      <c r="AC73" s="3" t="s">
        <v>155</v>
      </c>
    </row>
    <row r="74" spans="1:29" x14ac:dyDescent="0.25">
      <c r="A74" s="3" t="s">
        <v>31</v>
      </c>
      <c r="B74" s="6">
        <v>46064</v>
      </c>
      <c r="C74" s="86">
        <v>0.58333333333333337</v>
      </c>
      <c r="D74" s="91">
        <v>49</v>
      </c>
      <c r="E74" s="7">
        <f>VLOOKUP(Table1[[#This Row],[Course]],A:B,2,FALSE)</f>
        <v>70</v>
      </c>
      <c r="F74" s="4">
        <f t="shared" si="35"/>
        <v>18</v>
      </c>
      <c r="G74" s="4">
        <f>Table1[[#This Row],[TOTAL]]-Table1[[#This Row],[PAR]]</f>
        <v>49</v>
      </c>
      <c r="H74" s="5">
        <f t="shared" si="36"/>
        <v>119</v>
      </c>
      <c r="I74" s="5">
        <f t="shared" si="37"/>
        <v>69</v>
      </c>
      <c r="J74" s="5">
        <f t="shared" si="38"/>
        <v>50</v>
      </c>
      <c r="K74" s="3">
        <v>8</v>
      </c>
      <c r="L74" s="3">
        <v>8</v>
      </c>
      <c r="M74" s="3">
        <v>8</v>
      </c>
      <c r="N74" s="3">
        <v>8</v>
      </c>
      <c r="O74" s="3">
        <v>5</v>
      </c>
      <c r="P74" s="3">
        <v>8</v>
      </c>
      <c r="Q74" s="3">
        <v>8</v>
      </c>
      <c r="R74" s="3">
        <v>8</v>
      </c>
      <c r="S74" s="3">
        <v>8</v>
      </c>
      <c r="T74" s="3">
        <v>5</v>
      </c>
      <c r="U74" s="3">
        <v>4</v>
      </c>
      <c r="V74" s="3">
        <v>8</v>
      </c>
      <c r="W74" s="3">
        <v>8</v>
      </c>
      <c r="X74" s="3">
        <v>5</v>
      </c>
      <c r="Y74" s="3">
        <v>9</v>
      </c>
      <c r="Z74" s="3">
        <v>3</v>
      </c>
      <c r="AA74" s="3">
        <v>4</v>
      </c>
      <c r="AB74" s="3">
        <v>4</v>
      </c>
      <c r="AC74" s="3" t="s">
        <v>156</v>
      </c>
    </row>
    <row r="75" spans="1:29" x14ac:dyDescent="0.25">
      <c r="A75" s="3" t="s">
        <v>3</v>
      </c>
      <c r="B75" s="6">
        <v>46066</v>
      </c>
      <c r="C75" s="86">
        <v>0.58333333333333337</v>
      </c>
      <c r="D75" s="91">
        <v>48</v>
      </c>
      <c r="E75" s="7">
        <f>VLOOKUP(Table1[[#This Row],[Course]],A:B,2,FALSE)</f>
        <v>72</v>
      </c>
      <c r="F75" s="4">
        <f t="shared" si="35"/>
        <v>18</v>
      </c>
      <c r="G75" s="4">
        <f>Table1[[#This Row],[TOTAL]]-Table1[[#This Row],[PAR]]</f>
        <v>32</v>
      </c>
      <c r="H75" s="5">
        <f t="shared" si="36"/>
        <v>104</v>
      </c>
      <c r="I75" s="5">
        <f t="shared" si="37"/>
        <v>44</v>
      </c>
      <c r="J75" s="5">
        <f t="shared" si="38"/>
        <v>60</v>
      </c>
      <c r="K75" s="3">
        <v>5</v>
      </c>
      <c r="L75" s="3">
        <v>5</v>
      </c>
      <c r="M75" s="3">
        <v>6</v>
      </c>
      <c r="N75" s="3">
        <v>4</v>
      </c>
      <c r="O75" s="3">
        <v>5</v>
      </c>
      <c r="P75" s="3">
        <v>5</v>
      </c>
      <c r="Q75" s="3">
        <v>4</v>
      </c>
      <c r="R75" s="3">
        <v>5</v>
      </c>
      <c r="S75" s="3">
        <v>5</v>
      </c>
      <c r="T75" s="3">
        <v>7</v>
      </c>
      <c r="U75" s="3">
        <v>6</v>
      </c>
      <c r="V75" s="3">
        <v>5</v>
      </c>
      <c r="W75" s="3">
        <v>4</v>
      </c>
      <c r="X75" s="3">
        <v>4</v>
      </c>
      <c r="Y75" s="3">
        <v>6</v>
      </c>
      <c r="Z75" s="3">
        <v>10</v>
      </c>
      <c r="AA75" s="3">
        <v>8</v>
      </c>
      <c r="AB75" s="3">
        <v>10</v>
      </c>
      <c r="AC75" s="3"/>
    </row>
    <row r="76" spans="1:29" x14ac:dyDescent="0.25">
      <c r="A76" s="3" t="s">
        <v>28</v>
      </c>
      <c r="B76" s="6">
        <v>46071</v>
      </c>
      <c r="C76" s="86">
        <v>0.29166666666666669</v>
      </c>
      <c r="D76" s="91">
        <v>43</v>
      </c>
      <c r="E76" s="7">
        <f>VLOOKUP(Table1[[#This Row],[Course]],A:B,2,FALSE)</f>
        <v>72</v>
      </c>
      <c r="F76" s="4">
        <f t="shared" ref="F76:F77" si="39">COUNTIF(K76:AB76,"&gt;=0") - COUNTIF(K76:AB76,"*[^0-9.]*")</f>
        <v>18</v>
      </c>
      <c r="G76" s="4">
        <f>Table1[[#This Row],[TOTAL]]-Table1[[#This Row],[PAR]]</f>
        <v>11</v>
      </c>
      <c r="H76" s="5">
        <f t="shared" ref="H76:H77" si="40">J76+I76</f>
        <v>83</v>
      </c>
      <c r="I76" s="5">
        <f t="shared" ref="I76:I77" si="41">SUM(K76:S76)</f>
        <v>43</v>
      </c>
      <c r="J76" s="5">
        <f t="shared" ref="J76:J77" si="42">SUM(T76:AB76)</f>
        <v>40</v>
      </c>
      <c r="K76" s="3">
        <v>4</v>
      </c>
      <c r="L76" s="3">
        <v>6</v>
      </c>
      <c r="M76" s="3">
        <v>4</v>
      </c>
      <c r="N76" s="3">
        <v>6</v>
      </c>
      <c r="O76" s="3">
        <v>4</v>
      </c>
      <c r="P76" s="3">
        <v>6</v>
      </c>
      <c r="Q76" s="3">
        <v>4</v>
      </c>
      <c r="R76" s="3">
        <v>5</v>
      </c>
      <c r="S76" s="3">
        <v>4</v>
      </c>
      <c r="T76" s="3">
        <v>5</v>
      </c>
      <c r="U76" s="3">
        <v>3</v>
      </c>
      <c r="V76" s="3">
        <v>5</v>
      </c>
      <c r="W76" s="3">
        <v>5</v>
      </c>
      <c r="X76" s="3">
        <v>4</v>
      </c>
      <c r="Y76" s="3">
        <v>5</v>
      </c>
      <c r="Z76" s="3">
        <v>5</v>
      </c>
      <c r="AA76" s="3">
        <v>3</v>
      </c>
      <c r="AB76" s="3">
        <v>5</v>
      </c>
      <c r="AC76" s="3" t="s">
        <v>155</v>
      </c>
    </row>
    <row r="77" spans="1:29" x14ac:dyDescent="0.25">
      <c r="A77" s="3" t="s">
        <v>3</v>
      </c>
      <c r="B77" s="6">
        <v>46081</v>
      </c>
      <c r="C77" s="86">
        <v>0.58333333333333337</v>
      </c>
      <c r="D77" s="91">
        <v>53</v>
      </c>
      <c r="E77" s="7">
        <f>VLOOKUP(Table1[[#This Row],[Course]],A:B,2,FALSE)</f>
        <v>72</v>
      </c>
      <c r="F77" s="4">
        <f t="shared" si="39"/>
        <v>18</v>
      </c>
      <c r="G77" s="4">
        <f>Table1[[#This Row],[TOTAL]]-Table1[[#This Row],[PAR]]</f>
        <v>14</v>
      </c>
      <c r="H77" s="5">
        <f t="shared" si="40"/>
        <v>86</v>
      </c>
      <c r="I77" s="5">
        <f t="shared" si="41"/>
        <v>41</v>
      </c>
      <c r="J77" s="5">
        <f t="shared" si="42"/>
        <v>45</v>
      </c>
      <c r="K77" s="3">
        <v>5</v>
      </c>
      <c r="L77" s="3">
        <v>4</v>
      </c>
      <c r="M77" s="3">
        <v>5</v>
      </c>
      <c r="N77" s="3">
        <v>4</v>
      </c>
      <c r="O77" s="3">
        <v>5</v>
      </c>
      <c r="P77" s="3">
        <v>6</v>
      </c>
      <c r="Q77" s="3">
        <v>4</v>
      </c>
      <c r="R77" s="3">
        <v>4</v>
      </c>
      <c r="S77" s="3">
        <v>4</v>
      </c>
      <c r="T77" s="3">
        <v>5</v>
      </c>
      <c r="U77" s="3">
        <v>6</v>
      </c>
      <c r="V77" s="3">
        <v>3</v>
      </c>
      <c r="W77" s="3">
        <v>5</v>
      </c>
      <c r="X77" s="3">
        <v>4</v>
      </c>
      <c r="Y77" s="3">
        <v>4</v>
      </c>
      <c r="Z77" s="3">
        <v>6</v>
      </c>
      <c r="AA77" s="3">
        <v>6</v>
      </c>
      <c r="AB77" s="3">
        <v>6</v>
      </c>
      <c r="AC77" s="3"/>
    </row>
    <row r="78" spans="1:29" x14ac:dyDescent="0.25">
      <c r="A78" s="3" t="s">
        <v>28</v>
      </c>
      <c r="B78" s="6">
        <v>46094</v>
      </c>
      <c r="C78" s="86">
        <v>0.58333333333333337</v>
      </c>
      <c r="D78" s="91">
        <v>65</v>
      </c>
      <c r="E78" s="7">
        <f>VLOOKUP(Table1[[#This Row],[Course]],A:B,2,FALSE)</f>
        <v>72</v>
      </c>
      <c r="F78" s="4">
        <f t="shared" ref="F78:F79" si="43">COUNTIF(K78:AB78,"&gt;=0") - COUNTIF(K78:AB78,"*[^0-9.]*")</f>
        <v>18</v>
      </c>
      <c r="G78" s="4">
        <f>Table1[[#This Row],[TOTAL]]-Table1[[#This Row],[PAR]]</f>
        <v>26</v>
      </c>
      <c r="H78" s="5">
        <f t="shared" ref="H78:H79" si="44">J78+I78</f>
        <v>98</v>
      </c>
      <c r="I78" s="5">
        <f t="shared" ref="I78:I79" si="45">SUM(K78:S78)</f>
        <v>51</v>
      </c>
      <c r="J78" s="5">
        <f t="shared" ref="J78:J79" si="46">SUM(T78:AB78)</f>
        <v>47</v>
      </c>
      <c r="K78" s="3">
        <v>5</v>
      </c>
      <c r="L78" s="3">
        <v>5</v>
      </c>
      <c r="M78" s="3">
        <v>5</v>
      </c>
      <c r="N78" s="3">
        <v>8</v>
      </c>
      <c r="O78" s="3">
        <v>5</v>
      </c>
      <c r="P78" s="3">
        <v>5</v>
      </c>
      <c r="Q78" s="3">
        <v>4</v>
      </c>
      <c r="R78" s="3">
        <v>8</v>
      </c>
      <c r="S78" s="3">
        <v>6</v>
      </c>
      <c r="T78" s="3">
        <v>6</v>
      </c>
      <c r="U78" s="3">
        <v>6</v>
      </c>
      <c r="V78" s="3">
        <v>4</v>
      </c>
      <c r="W78" s="3">
        <v>3</v>
      </c>
      <c r="X78" s="3">
        <v>5</v>
      </c>
      <c r="Y78" s="3">
        <v>5</v>
      </c>
      <c r="Z78" s="3">
        <v>6</v>
      </c>
      <c r="AA78" s="3">
        <v>6</v>
      </c>
      <c r="AB78" s="3">
        <v>6</v>
      </c>
      <c r="AC78" s="3"/>
    </row>
    <row r="79" spans="1:29" x14ac:dyDescent="0.25">
      <c r="A79" s="3" t="s">
        <v>31</v>
      </c>
      <c r="B79" s="6">
        <v>46064</v>
      </c>
      <c r="C79" s="86">
        <v>0.58333333333333337</v>
      </c>
      <c r="D79" s="91">
        <v>49</v>
      </c>
      <c r="E79" s="7">
        <f>VLOOKUP(Table1[[#This Row],[Course]],A:B,2,FALSE)</f>
        <v>70</v>
      </c>
      <c r="F79" s="4">
        <f t="shared" si="43"/>
        <v>18</v>
      </c>
      <c r="G79" s="4">
        <f>Table1[[#This Row],[TOTAL]]-Table1[[#This Row],[PAR]]</f>
        <v>27</v>
      </c>
      <c r="H79" s="5">
        <f t="shared" si="44"/>
        <v>97</v>
      </c>
      <c r="I79" s="5">
        <f t="shared" si="45"/>
        <v>45</v>
      </c>
      <c r="J79" s="5">
        <f t="shared" si="46"/>
        <v>52</v>
      </c>
      <c r="K79" s="3">
        <v>4</v>
      </c>
      <c r="L79" s="3">
        <v>4</v>
      </c>
      <c r="M79" s="3">
        <v>6</v>
      </c>
      <c r="N79" s="3">
        <v>6</v>
      </c>
      <c r="O79" s="3">
        <v>6</v>
      </c>
      <c r="P79" s="3">
        <v>4</v>
      </c>
      <c r="Q79" s="3">
        <v>7</v>
      </c>
      <c r="R79" s="3">
        <v>4</v>
      </c>
      <c r="S79" s="3">
        <v>4</v>
      </c>
      <c r="T79" s="3">
        <v>5</v>
      </c>
      <c r="U79" s="3">
        <v>6</v>
      </c>
      <c r="V79" s="3">
        <v>5</v>
      </c>
      <c r="W79" s="3">
        <v>6</v>
      </c>
      <c r="X79" s="3">
        <v>6</v>
      </c>
      <c r="Y79" s="3">
        <v>8</v>
      </c>
      <c r="Z79" s="3">
        <v>5</v>
      </c>
      <c r="AA79" s="3">
        <v>6</v>
      </c>
      <c r="AB79" s="3">
        <v>5</v>
      </c>
      <c r="AC79" s="3" t="s">
        <v>157</v>
      </c>
    </row>
    <row r="80" spans="1:29" x14ac:dyDescent="0.25">
      <c r="A80" s="3" t="s">
        <v>30</v>
      </c>
      <c r="B80" s="6">
        <v>46105</v>
      </c>
      <c r="C80" s="86">
        <v>0.58333333333333337</v>
      </c>
      <c r="D80" s="91">
        <v>58</v>
      </c>
      <c r="E80" s="7">
        <f>VLOOKUP(Table1[[#This Row],[Course]],A:B,2,FALSE)</f>
        <v>72</v>
      </c>
      <c r="F80" s="4">
        <f t="shared" ref="F80:F86" si="47">COUNTIF(K80:AB80,"&gt;=0") - COUNTIF(K80:AB80,"*[^0-9.]*")</f>
        <v>18</v>
      </c>
      <c r="G80" s="4">
        <f>Table1[[#This Row],[TOTAL]]-Table1[[#This Row],[PAR]]</f>
        <v>22</v>
      </c>
      <c r="H80" s="5">
        <f t="shared" ref="H80:H86" si="48">J80+I80</f>
        <v>94</v>
      </c>
      <c r="I80" s="5">
        <f t="shared" ref="I80:I86" si="49">SUM(K80:S80)</f>
        <v>48</v>
      </c>
      <c r="J80" s="5">
        <f t="shared" ref="J80:J86" si="50">SUM(T80:AB80)</f>
        <v>46</v>
      </c>
      <c r="K80" s="3">
        <v>5</v>
      </c>
      <c r="L80" s="3">
        <v>7</v>
      </c>
      <c r="M80" s="3">
        <v>5</v>
      </c>
      <c r="N80" s="3">
        <v>6</v>
      </c>
      <c r="O80" s="3">
        <v>5</v>
      </c>
      <c r="P80" s="3">
        <v>5</v>
      </c>
      <c r="Q80" s="3">
        <v>7</v>
      </c>
      <c r="R80" s="3">
        <v>4</v>
      </c>
      <c r="S80" s="3">
        <v>4</v>
      </c>
      <c r="T80" s="3">
        <v>7</v>
      </c>
      <c r="U80" s="3">
        <v>5</v>
      </c>
      <c r="V80" s="3">
        <v>4</v>
      </c>
      <c r="W80" s="3">
        <v>4</v>
      </c>
      <c r="X80" s="3">
        <v>5</v>
      </c>
      <c r="Y80" s="3">
        <v>4</v>
      </c>
      <c r="Z80" s="3">
        <v>6</v>
      </c>
      <c r="AA80" s="3">
        <v>7</v>
      </c>
      <c r="AB80" s="3">
        <v>4</v>
      </c>
      <c r="AC80" s="3"/>
    </row>
    <row r="81" spans="1:29" x14ac:dyDescent="0.25">
      <c r="A81" s="3" t="s">
        <v>28</v>
      </c>
      <c r="B81" s="6">
        <v>46106</v>
      </c>
      <c r="C81" s="86">
        <v>0.58333333333333337</v>
      </c>
      <c r="D81" s="91">
        <v>66</v>
      </c>
      <c r="E81" s="7">
        <f>VLOOKUP(Table1[[#This Row],[Course]],A:B,2,FALSE)</f>
        <v>72</v>
      </c>
      <c r="F81" s="4">
        <f t="shared" si="47"/>
        <v>18</v>
      </c>
      <c r="G81" s="4">
        <f>Table1[[#This Row],[TOTAL]]-Table1[[#This Row],[PAR]]</f>
        <v>15</v>
      </c>
      <c r="H81" s="5">
        <f t="shared" si="48"/>
        <v>87</v>
      </c>
      <c r="I81" s="5">
        <f t="shared" si="49"/>
        <v>46</v>
      </c>
      <c r="J81" s="5">
        <f t="shared" si="50"/>
        <v>41</v>
      </c>
      <c r="K81" s="3">
        <v>7</v>
      </c>
      <c r="L81" s="3">
        <v>6</v>
      </c>
      <c r="M81" s="3">
        <v>3</v>
      </c>
      <c r="N81" s="3">
        <v>5</v>
      </c>
      <c r="O81" s="3">
        <v>5</v>
      </c>
      <c r="P81" s="3">
        <v>5</v>
      </c>
      <c r="Q81" s="3">
        <v>4</v>
      </c>
      <c r="R81" s="3">
        <v>7</v>
      </c>
      <c r="S81" s="3">
        <v>4</v>
      </c>
      <c r="T81" s="3">
        <v>4</v>
      </c>
      <c r="U81" s="3">
        <v>5</v>
      </c>
      <c r="V81" s="3">
        <v>6</v>
      </c>
      <c r="W81" s="3">
        <v>3</v>
      </c>
      <c r="X81" s="3">
        <v>4</v>
      </c>
      <c r="Y81" s="3">
        <v>5</v>
      </c>
      <c r="Z81" s="3">
        <v>6</v>
      </c>
      <c r="AA81" s="3">
        <v>3</v>
      </c>
      <c r="AB81" s="3">
        <v>5</v>
      </c>
      <c r="AC81" s="3"/>
    </row>
    <row r="82" spans="1:29" x14ac:dyDescent="0.25">
      <c r="A82" s="3" t="s">
        <v>28</v>
      </c>
      <c r="B82" s="6">
        <v>46112</v>
      </c>
      <c r="C82" s="86">
        <v>0.58333333333333337</v>
      </c>
      <c r="D82" s="91">
        <v>52</v>
      </c>
      <c r="E82" s="7">
        <f>VLOOKUP(Table1[[#This Row],[Course]],A:B,2,FALSE)</f>
        <v>72</v>
      </c>
      <c r="F82" s="4">
        <f t="shared" si="47"/>
        <v>18</v>
      </c>
      <c r="G82" s="4">
        <f>Table1[[#This Row],[TOTAL]]-Table1[[#This Row],[PAR]]</f>
        <v>22</v>
      </c>
      <c r="H82" s="5">
        <f t="shared" si="48"/>
        <v>94</v>
      </c>
      <c r="I82" s="5">
        <f t="shared" si="49"/>
        <v>45</v>
      </c>
      <c r="J82" s="5">
        <f t="shared" si="50"/>
        <v>49</v>
      </c>
      <c r="K82" s="3">
        <v>5</v>
      </c>
      <c r="L82" s="3">
        <v>4</v>
      </c>
      <c r="M82" s="3">
        <v>5</v>
      </c>
      <c r="N82" s="3">
        <v>6</v>
      </c>
      <c r="O82" s="3">
        <v>4</v>
      </c>
      <c r="P82" s="3">
        <v>5</v>
      </c>
      <c r="Q82" s="3">
        <v>4</v>
      </c>
      <c r="R82" s="3">
        <v>5</v>
      </c>
      <c r="S82" s="3">
        <v>7</v>
      </c>
      <c r="T82" s="3">
        <v>6</v>
      </c>
      <c r="U82" s="3">
        <v>5</v>
      </c>
      <c r="V82" s="3">
        <v>5</v>
      </c>
      <c r="W82" s="3">
        <v>6</v>
      </c>
      <c r="X82" s="3">
        <v>6</v>
      </c>
      <c r="Y82" s="3">
        <v>4</v>
      </c>
      <c r="Z82" s="3">
        <v>7</v>
      </c>
      <c r="AA82" s="3">
        <v>4</v>
      </c>
      <c r="AB82" s="3">
        <v>6</v>
      </c>
      <c r="AC82" s="3"/>
    </row>
    <row r="83" spans="1:29" x14ac:dyDescent="0.25">
      <c r="A83" s="3" t="s">
        <v>158</v>
      </c>
      <c r="B83" s="6">
        <v>46120</v>
      </c>
      <c r="C83" s="86">
        <v>0.58333333333333337</v>
      </c>
      <c r="D83" s="91">
        <v>64</v>
      </c>
      <c r="E83" s="7">
        <f>VLOOKUP(Table1[[#This Row],[Course]],A:B,2,FALSE)</f>
        <v>73</v>
      </c>
      <c r="F83" s="4">
        <f t="shared" si="47"/>
        <v>18</v>
      </c>
      <c r="G83" s="4">
        <f>Table1[[#This Row],[TOTAL]]-Table1[[#This Row],[PAR]]</f>
        <v>28</v>
      </c>
      <c r="H83" s="5">
        <f t="shared" si="48"/>
        <v>101</v>
      </c>
      <c r="I83" s="5">
        <f t="shared" si="49"/>
        <v>53</v>
      </c>
      <c r="J83" s="5">
        <f t="shared" si="50"/>
        <v>48</v>
      </c>
      <c r="K83" s="3">
        <v>6</v>
      </c>
      <c r="L83" s="3">
        <v>5</v>
      </c>
      <c r="M83" s="3">
        <v>5</v>
      </c>
      <c r="N83" s="3">
        <v>4</v>
      </c>
      <c r="O83" s="3">
        <v>10</v>
      </c>
      <c r="P83" s="3">
        <v>8</v>
      </c>
      <c r="Q83" s="3">
        <v>4</v>
      </c>
      <c r="R83" s="3">
        <v>5</v>
      </c>
      <c r="S83" s="3">
        <v>6</v>
      </c>
      <c r="T83" s="3">
        <v>4</v>
      </c>
      <c r="U83" s="3">
        <v>5</v>
      </c>
      <c r="V83" s="3">
        <v>3</v>
      </c>
      <c r="W83" s="3">
        <v>8</v>
      </c>
      <c r="X83" s="3">
        <v>4</v>
      </c>
      <c r="Y83" s="3">
        <v>5</v>
      </c>
      <c r="Z83" s="3">
        <v>6</v>
      </c>
      <c r="AA83" s="3">
        <v>7</v>
      </c>
      <c r="AB83" s="3">
        <v>6</v>
      </c>
      <c r="AC83" s="3" t="s">
        <v>159</v>
      </c>
    </row>
    <row r="84" spans="1:29" x14ac:dyDescent="0.25">
      <c r="A84" s="3" t="s">
        <v>158</v>
      </c>
      <c r="B84" s="6">
        <v>46121</v>
      </c>
      <c r="C84" s="86">
        <v>0.58333333333333337</v>
      </c>
      <c r="D84" s="91">
        <v>70</v>
      </c>
      <c r="E84" s="7">
        <f>VLOOKUP(Table1[[#This Row],[Course]],A:B,2,FALSE)</f>
        <v>73</v>
      </c>
      <c r="F84" s="4">
        <f t="shared" si="47"/>
        <v>18</v>
      </c>
      <c r="G84" s="4">
        <f>Table1[[#This Row],[TOTAL]]-Table1[[#This Row],[PAR]]</f>
        <v>21</v>
      </c>
      <c r="H84" s="5">
        <f t="shared" si="48"/>
        <v>94</v>
      </c>
      <c r="I84" s="5">
        <f t="shared" si="49"/>
        <v>46</v>
      </c>
      <c r="J84" s="5">
        <f t="shared" si="50"/>
        <v>48</v>
      </c>
      <c r="K84" s="3">
        <v>5</v>
      </c>
      <c r="L84" s="3">
        <v>7</v>
      </c>
      <c r="M84" s="3">
        <v>7</v>
      </c>
      <c r="N84" s="3">
        <v>5</v>
      </c>
      <c r="O84" s="3">
        <v>4</v>
      </c>
      <c r="P84" s="3">
        <v>6</v>
      </c>
      <c r="Q84" s="3">
        <v>3</v>
      </c>
      <c r="R84" s="3">
        <v>4</v>
      </c>
      <c r="S84" s="3">
        <v>5</v>
      </c>
      <c r="T84" s="3">
        <v>5</v>
      </c>
      <c r="U84" s="3">
        <v>2</v>
      </c>
      <c r="V84" s="3">
        <v>5</v>
      </c>
      <c r="W84" s="3">
        <v>5</v>
      </c>
      <c r="X84" s="3">
        <v>6</v>
      </c>
      <c r="Y84" s="3">
        <v>5</v>
      </c>
      <c r="Z84" s="3">
        <v>7</v>
      </c>
      <c r="AA84" s="3">
        <v>7</v>
      </c>
      <c r="AB84" s="3">
        <v>6</v>
      </c>
      <c r="AC84" s="3" t="s">
        <v>180</v>
      </c>
    </row>
    <row r="85" spans="1:29" x14ac:dyDescent="0.25">
      <c r="A85" s="3" t="s">
        <v>181</v>
      </c>
      <c r="B85" s="6">
        <v>46135</v>
      </c>
      <c r="C85" s="86">
        <v>0.58333333333333337</v>
      </c>
      <c r="D85" s="91">
        <v>61</v>
      </c>
      <c r="E85" s="7">
        <f>VLOOKUP(Table1[[#This Row],[Course]],A:B,2,FALSE)</f>
        <v>73</v>
      </c>
      <c r="F85" s="4">
        <f t="shared" si="47"/>
        <v>18</v>
      </c>
      <c r="G85" s="4">
        <f>Table1[[#This Row],[TOTAL]]-Table1[[#This Row],[PAR]]</f>
        <v>17</v>
      </c>
      <c r="H85" s="5">
        <f t="shared" si="48"/>
        <v>90</v>
      </c>
      <c r="I85" s="5">
        <f t="shared" si="49"/>
        <v>47</v>
      </c>
      <c r="J85" s="5">
        <f t="shared" si="50"/>
        <v>43</v>
      </c>
      <c r="K85" s="3">
        <v>6</v>
      </c>
      <c r="L85" s="3">
        <v>3</v>
      </c>
      <c r="M85" s="3">
        <v>8</v>
      </c>
      <c r="N85" s="3">
        <v>5</v>
      </c>
      <c r="O85" s="3">
        <v>4</v>
      </c>
      <c r="P85" s="3">
        <v>3</v>
      </c>
      <c r="Q85" s="3">
        <v>6</v>
      </c>
      <c r="R85" s="3">
        <v>6</v>
      </c>
      <c r="S85" s="3">
        <v>6</v>
      </c>
      <c r="T85" s="3">
        <v>4</v>
      </c>
      <c r="U85" s="3">
        <v>3</v>
      </c>
      <c r="V85" s="3">
        <v>6</v>
      </c>
      <c r="W85" s="3">
        <v>6</v>
      </c>
      <c r="X85" s="3">
        <v>3</v>
      </c>
      <c r="Y85" s="3">
        <v>6</v>
      </c>
      <c r="Z85" s="3">
        <v>4</v>
      </c>
      <c r="AA85" s="3">
        <v>4</v>
      </c>
      <c r="AB85" s="3">
        <v>7</v>
      </c>
      <c r="AC85" s="3"/>
    </row>
    <row r="86" spans="1:29" x14ac:dyDescent="0.25">
      <c r="A86" s="3" t="s">
        <v>28</v>
      </c>
      <c r="B86" s="6">
        <v>46156</v>
      </c>
      <c r="C86" s="86">
        <v>0.625</v>
      </c>
      <c r="D86" s="91">
        <v>79</v>
      </c>
      <c r="E86" s="7">
        <f>VLOOKUP(Table1[[#This Row],[Course]],A:B,2,FALSE)</f>
        <v>72</v>
      </c>
      <c r="F86" s="4">
        <f t="shared" si="47"/>
        <v>18</v>
      </c>
      <c r="G86" s="4">
        <f>Table1[[#This Row],[TOTAL]]-Table1[[#This Row],[PAR]]</f>
        <v>23</v>
      </c>
      <c r="H86" s="5">
        <f t="shared" si="48"/>
        <v>95</v>
      </c>
      <c r="I86" s="5">
        <f t="shared" si="49"/>
        <v>45</v>
      </c>
      <c r="J86" s="5">
        <f t="shared" si="50"/>
        <v>50</v>
      </c>
      <c r="K86" s="3">
        <v>5</v>
      </c>
      <c r="L86" s="3">
        <v>5</v>
      </c>
      <c r="M86" s="3">
        <v>5</v>
      </c>
      <c r="N86" s="3">
        <v>6</v>
      </c>
      <c r="O86" s="3">
        <v>5</v>
      </c>
      <c r="P86" s="3">
        <v>6</v>
      </c>
      <c r="Q86" s="3">
        <v>4</v>
      </c>
      <c r="R86" s="3">
        <v>4</v>
      </c>
      <c r="S86" s="3">
        <v>5</v>
      </c>
      <c r="T86" s="3">
        <v>6</v>
      </c>
      <c r="U86" s="3">
        <v>8</v>
      </c>
      <c r="V86" s="3">
        <v>5</v>
      </c>
      <c r="W86" s="3">
        <v>4</v>
      </c>
      <c r="X86" s="3">
        <v>7</v>
      </c>
      <c r="Y86" s="3">
        <v>6</v>
      </c>
      <c r="Z86" s="3">
        <v>5</v>
      </c>
      <c r="AA86" s="3">
        <v>3</v>
      </c>
      <c r="AB86" s="3">
        <v>6</v>
      </c>
      <c r="AC86" s="3"/>
    </row>
    <row r="87" spans="1:29" x14ac:dyDescent="0.25">
      <c r="A87" s="3" t="s">
        <v>28</v>
      </c>
      <c r="B87" s="6">
        <v>46157</v>
      </c>
      <c r="C87" s="86">
        <v>0.625</v>
      </c>
      <c r="D87" s="91">
        <v>72</v>
      </c>
      <c r="E87" s="7">
        <f>VLOOKUP(Table1[[#This Row],[Course]],A:B,2,FALSE)</f>
        <v>72</v>
      </c>
      <c r="F87" s="4">
        <f t="shared" ref="F87:F88" si="51">COUNTIF(K87:AB87,"&gt;=0") - COUNTIF(K87:AB87,"*[^0-9.]*")</f>
        <v>18</v>
      </c>
      <c r="G87" s="4">
        <f>Table1[[#This Row],[TOTAL]]-Table1[[#This Row],[PAR]]</f>
        <v>25</v>
      </c>
      <c r="H87" s="5">
        <f t="shared" ref="H87:H88" si="52">J87+I87</f>
        <v>97</v>
      </c>
      <c r="I87" s="5">
        <f t="shared" ref="I87:I88" si="53">SUM(K87:S87)</f>
        <v>45</v>
      </c>
      <c r="J87" s="5">
        <f t="shared" ref="J87:J88" si="54">SUM(T87:AB87)</f>
        <v>52</v>
      </c>
      <c r="K87" s="3">
        <v>6</v>
      </c>
      <c r="L87" s="3">
        <v>5</v>
      </c>
      <c r="M87" s="3">
        <v>4</v>
      </c>
      <c r="N87" s="3">
        <v>4</v>
      </c>
      <c r="O87" s="3">
        <v>5</v>
      </c>
      <c r="P87" s="3">
        <v>4</v>
      </c>
      <c r="Q87" s="3">
        <v>4</v>
      </c>
      <c r="R87" s="3">
        <v>5</v>
      </c>
      <c r="S87" s="3">
        <v>8</v>
      </c>
      <c r="T87" s="3">
        <v>7</v>
      </c>
      <c r="U87" s="3">
        <v>5</v>
      </c>
      <c r="V87" s="3">
        <v>4</v>
      </c>
      <c r="W87" s="3">
        <v>8</v>
      </c>
      <c r="X87" s="3">
        <v>5</v>
      </c>
      <c r="Y87" s="3">
        <v>3</v>
      </c>
      <c r="Z87" s="3">
        <v>8</v>
      </c>
      <c r="AA87" s="3">
        <v>4</v>
      </c>
      <c r="AB87" s="3">
        <v>8</v>
      </c>
      <c r="AC87" s="3"/>
    </row>
    <row r="88" spans="1:29" x14ac:dyDescent="0.25">
      <c r="A88" s="3" t="s">
        <v>158</v>
      </c>
      <c r="B88" s="6">
        <v>46164</v>
      </c>
      <c r="C88" s="86">
        <v>0.625</v>
      </c>
      <c r="D88" s="91">
        <v>82</v>
      </c>
      <c r="E88" s="7">
        <f>VLOOKUP(Table1[[#This Row],[Course]],A:B,2,FALSE)</f>
        <v>73</v>
      </c>
      <c r="F88" s="4">
        <f t="shared" si="51"/>
        <v>18</v>
      </c>
      <c r="G88" s="4">
        <f>Table1[[#This Row],[TOTAL]]-Table1[[#This Row],[PAR]]</f>
        <v>16</v>
      </c>
      <c r="H88" s="5">
        <f t="shared" si="52"/>
        <v>89</v>
      </c>
      <c r="I88" s="5">
        <f t="shared" si="53"/>
        <v>46</v>
      </c>
      <c r="J88" s="5">
        <f t="shared" si="54"/>
        <v>43</v>
      </c>
      <c r="K88" s="3">
        <v>6</v>
      </c>
      <c r="L88" s="3">
        <v>5</v>
      </c>
      <c r="M88" s="3">
        <v>5</v>
      </c>
      <c r="N88" s="3">
        <v>7</v>
      </c>
      <c r="O88" s="3">
        <v>3</v>
      </c>
      <c r="P88" s="3">
        <v>6</v>
      </c>
      <c r="Q88" s="3">
        <v>5</v>
      </c>
      <c r="R88" s="3">
        <v>4</v>
      </c>
      <c r="S88" s="3">
        <v>5</v>
      </c>
      <c r="T88" s="3">
        <v>5</v>
      </c>
      <c r="U88" s="3">
        <v>3</v>
      </c>
      <c r="V88" s="3">
        <v>4</v>
      </c>
      <c r="W88" s="3">
        <v>7</v>
      </c>
      <c r="X88" s="3">
        <v>4</v>
      </c>
      <c r="Y88" s="3">
        <v>6</v>
      </c>
      <c r="Z88" s="3">
        <v>4</v>
      </c>
      <c r="AA88" s="3">
        <v>5</v>
      </c>
      <c r="AB88" s="3">
        <v>5</v>
      </c>
      <c r="AC88" s="3" t="s">
        <v>159</v>
      </c>
    </row>
    <row r="89" spans="1:29" x14ac:dyDescent="0.25">
      <c r="A89" s="3" t="s">
        <v>186</v>
      </c>
      <c r="B89" s="6">
        <v>46171</v>
      </c>
      <c r="C89" s="86">
        <v>0.625</v>
      </c>
      <c r="D89" s="91">
        <v>77</v>
      </c>
      <c r="E89" s="7">
        <f>VLOOKUP(Table1[[#This Row],[Course]],A:B,2,FALSE)</f>
        <v>72</v>
      </c>
      <c r="F89" s="4">
        <f>COUNTIF(K89:AB89,"&gt;=0") - COUNTIF(K89:AB89,"*[^0-9.]*")</f>
        <v>18</v>
      </c>
      <c r="G89" s="4">
        <f>Table1[[#This Row],[TOTAL]]-Table1[[#This Row],[PAR]]</f>
        <v>20</v>
      </c>
      <c r="H89" s="5">
        <f>J89+I89</f>
        <v>92</v>
      </c>
      <c r="I89" s="5">
        <f>SUM(K89:S89)</f>
        <v>46</v>
      </c>
      <c r="J89" s="5">
        <f>SUM(T89:AB89)</f>
        <v>46</v>
      </c>
      <c r="K89" s="3">
        <v>6</v>
      </c>
      <c r="L89" s="3">
        <v>5</v>
      </c>
      <c r="M89" s="3">
        <v>5</v>
      </c>
      <c r="N89" s="3">
        <v>4</v>
      </c>
      <c r="O89" s="3">
        <v>3</v>
      </c>
      <c r="P89" s="3">
        <v>6</v>
      </c>
      <c r="Q89" s="3">
        <v>5</v>
      </c>
      <c r="R89" s="3">
        <v>6</v>
      </c>
      <c r="S89" s="3">
        <v>6</v>
      </c>
      <c r="T89" s="3">
        <v>6</v>
      </c>
      <c r="U89" s="3">
        <v>3</v>
      </c>
      <c r="V89" s="3">
        <v>6</v>
      </c>
      <c r="W89" s="3">
        <v>4</v>
      </c>
      <c r="X89" s="3">
        <v>3</v>
      </c>
      <c r="Y89" s="3">
        <v>5</v>
      </c>
      <c r="Z89" s="3">
        <v>5</v>
      </c>
      <c r="AA89" s="3">
        <v>4</v>
      </c>
      <c r="AB89" s="3">
        <v>10</v>
      </c>
      <c r="AC89" s="3"/>
    </row>
    <row r="90" spans="1:29" x14ac:dyDescent="0.25">
      <c r="A90" s="3" t="s">
        <v>28</v>
      </c>
      <c r="B90" s="6">
        <v>46176</v>
      </c>
      <c r="C90" s="86">
        <v>0.625</v>
      </c>
      <c r="D90" s="91">
        <v>85</v>
      </c>
      <c r="E90" s="7">
        <f>VLOOKUP(Table1[[#This Row],[Course]],A:B,2,FALSE)</f>
        <v>72</v>
      </c>
      <c r="F90" s="4">
        <f t="shared" ref="F90" si="55">COUNTIF(K90:AB90,"&gt;=0") - COUNTIF(K90:AB90,"*[^0-9.]*")</f>
        <v>18</v>
      </c>
      <c r="G90" s="4">
        <f>Table1[[#This Row],[TOTAL]]-Table1[[#This Row],[PAR]]</f>
        <v>21</v>
      </c>
      <c r="H90" s="5">
        <f t="shared" ref="H90" si="56">J90+I90</f>
        <v>93</v>
      </c>
      <c r="I90" s="5">
        <f t="shared" ref="I90" si="57">SUM(K90:S90)</f>
        <v>46</v>
      </c>
      <c r="J90" s="5">
        <f t="shared" ref="J90" si="58">SUM(T90:AB90)</f>
        <v>47</v>
      </c>
      <c r="K90" s="3">
        <v>7</v>
      </c>
      <c r="L90" s="3">
        <v>5</v>
      </c>
      <c r="M90" s="3">
        <v>4</v>
      </c>
      <c r="N90" s="3">
        <v>6</v>
      </c>
      <c r="O90" s="3">
        <v>3</v>
      </c>
      <c r="P90" s="3">
        <v>6</v>
      </c>
      <c r="Q90" s="3">
        <v>3</v>
      </c>
      <c r="R90" s="3">
        <v>6</v>
      </c>
      <c r="S90" s="3">
        <v>6</v>
      </c>
      <c r="T90" s="3">
        <v>7</v>
      </c>
      <c r="U90" s="3">
        <v>5</v>
      </c>
      <c r="V90" s="3">
        <v>5</v>
      </c>
      <c r="W90" s="3">
        <v>4</v>
      </c>
      <c r="X90" s="3">
        <v>6</v>
      </c>
      <c r="Y90" s="3">
        <v>4</v>
      </c>
      <c r="Z90" s="3">
        <v>8</v>
      </c>
      <c r="AA90" s="3">
        <v>3</v>
      </c>
      <c r="AB90" s="3">
        <v>5</v>
      </c>
      <c r="AC90" s="3"/>
    </row>
    <row r="91" spans="1:29" x14ac:dyDescent="0.25">
      <c r="A91" s="3" t="s">
        <v>191</v>
      </c>
      <c r="B91" s="6">
        <v>46179</v>
      </c>
      <c r="C91" s="86">
        <v>0.625</v>
      </c>
      <c r="D91" s="91">
        <v>79</v>
      </c>
      <c r="E91" s="7">
        <f>VLOOKUP(Table1[[#This Row],[Course]],A:B,2,FALSE)</f>
        <v>72</v>
      </c>
      <c r="F91" s="4">
        <f>COUNTIF(K91:AB91,"&gt;=0") - COUNTIF(K91:AB91,"*[^0-9.]*")</f>
        <v>18</v>
      </c>
      <c r="G91" s="4">
        <f>Table1[[#This Row],[TOTAL]]-Table1[[#This Row],[PAR]]</f>
        <v>10</v>
      </c>
      <c r="H91" s="5">
        <f>J91+I91</f>
        <v>82</v>
      </c>
      <c r="I91" s="5">
        <f>SUM(K91:S91)</f>
        <v>40</v>
      </c>
      <c r="J91" s="5">
        <f>SUM(T91:AB91)</f>
        <v>42</v>
      </c>
      <c r="K91" s="3">
        <v>5</v>
      </c>
      <c r="L91" s="3">
        <v>4</v>
      </c>
      <c r="M91" s="3">
        <v>3</v>
      </c>
      <c r="N91" s="3">
        <v>5</v>
      </c>
      <c r="O91" s="3">
        <v>6</v>
      </c>
      <c r="P91" s="3">
        <v>4</v>
      </c>
      <c r="Q91" s="3">
        <v>4</v>
      </c>
      <c r="R91" s="3">
        <v>4</v>
      </c>
      <c r="S91" s="3">
        <v>5</v>
      </c>
      <c r="T91" s="3">
        <v>4</v>
      </c>
      <c r="U91" s="3">
        <v>5</v>
      </c>
      <c r="V91" s="3">
        <v>4</v>
      </c>
      <c r="W91" s="3">
        <v>5</v>
      </c>
      <c r="X91" s="3">
        <v>5</v>
      </c>
      <c r="Y91" s="3">
        <v>4</v>
      </c>
      <c r="Z91" s="3">
        <v>6</v>
      </c>
      <c r="AA91" s="3">
        <v>5</v>
      </c>
      <c r="AB91" s="3">
        <v>4</v>
      </c>
      <c r="AC91" s="3"/>
    </row>
    <row r="92" spans="1:29" x14ac:dyDescent="0.25">
      <c r="A92" s="3" t="s">
        <v>31</v>
      </c>
      <c r="B92" s="6">
        <v>46183</v>
      </c>
      <c r="C92" s="86">
        <v>0.625</v>
      </c>
      <c r="D92" s="91">
        <v>86</v>
      </c>
      <c r="E92" s="7">
        <f>VLOOKUP(Table1[[#This Row],[Course]],A:B,2,FALSE)</f>
        <v>70</v>
      </c>
      <c r="F92" s="4">
        <f t="shared" ref="F92" si="59">COUNTIF(K92:AB92,"&gt;=0") - COUNTIF(K92:AB92,"*[^0-9.]*")</f>
        <v>18</v>
      </c>
      <c r="G92" s="4">
        <f>Table1[[#This Row],[TOTAL]]-Table1[[#This Row],[PAR]]</f>
        <v>36</v>
      </c>
      <c r="H92" s="5">
        <f t="shared" ref="H92" si="60">J92+I92</f>
        <v>106</v>
      </c>
      <c r="I92" s="5">
        <f t="shared" ref="I92" si="61">SUM(K92:S92)</f>
        <v>50</v>
      </c>
      <c r="J92" s="5">
        <f t="shared" ref="J92" si="62">SUM(T92:AB92)</f>
        <v>56</v>
      </c>
      <c r="K92" s="3">
        <v>5</v>
      </c>
      <c r="L92" s="3">
        <v>4</v>
      </c>
      <c r="M92" s="3">
        <v>8</v>
      </c>
      <c r="N92" s="3">
        <v>5</v>
      </c>
      <c r="O92" s="3">
        <v>7</v>
      </c>
      <c r="P92" s="3">
        <v>8</v>
      </c>
      <c r="Q92" s="3">
        <v>4</v>
      </c>
      <c r="R92" s="3">
        <v>4</v>
      </c>
      <c r="S92" s="3">
        <v>5</v>
      </c>
      <c r="T92" s="3">
        <v>5</v>
      </c>
      <c r="U92" s="3">
        <v>5</v>
      </c>
      <c r="V92" s="3">
        <v>6</v>
      </c>
      <c r="W92" s="3">
        <v>7</v>
      </c>
      <c r="X92" s="3">
        <v>7</v>
      </c>
      <c r="Y92" s="3">
        <v>8</v>
      </c>
      <c r="Z92" s="3">
        <v>4</v>
      </c>
      <c r="AA92" s="3">
        <v>7</v>
      </c>
      <c r="AB92" s="3">
        <v>7</v>
      </c>
      <c r="AC92" s="3" t="s">
        <v>192</v>
      </c>
    </row>
    <row r="93" spans="1:29" x14ac:dyDescent="0.25">
      <c r="A93" s="3" t="s">
        <v>158</v>
      </c>
      <c r="B93" s="6">
        <v>46185</v>
      </c>
      <c r="C93" s="86">
        <v>0.625</v>
      </c>
      <c r="D93" s="91">
        <v>80</v>
      </c>
      <c r="E93" s="7">
        <f>VLOOKUP(Table1[[#This Row],[Course]],A:B,2,FALSE)</f>
        <v>73</v>
      </c>
      <c r="F93" s="4">
        <f>COUNTIF(K93:AB93,"&gt;=0") - COUNTIF(K93:AB93,"*[^0-9.]*")</f>
        <v>18</v>
      </c>
      <c r="G93" s="4">
        <f>Table1[[#This Row],[TOTAL]]-Table1[[#This Row],[PAR]]</f>
        <v>21</v>
      </c>
      <c r="H93" s="5">
        <f>J93+I93</f>
        <v>94</v>
      </c>
      <c r="I93" s="5">
        <f>SUM(K93:S93)</f>
        <v>47</v>
      </c>
      <c r="J93" s="5">
        <f>SUM(T93:AB93)</f>
        <v>47</v>
      </c>
      <c r="K93" s="3">
        <v>5</v>
      </c>
      <c r="L93" s="3">
        <v>5</v>
      </c>
      <c r="M93" s="3">
        <v>5</v>
      </c>
      <c r="N93" s="3">
        <v>6</v>
      </c>
      <c r="O93" s="3">
        <v>4</v>
      </c>
      <c r="P93" s="3">
        <v>7</v>
      </c>
      <c r="Q93" s="3">
        <v>3</v>
      </c>
      <c r="R93" s="3">
        <v>5</v>
      </c>
      <c r="S93" s="3">
        <v>7</v>
      </c>
      <c r="T93" s="3">
        <v>5</v>
      </c>
      <c r="U93" s="3">
        <v>4</v>
      </c>
      <c r="V93" s="3">
        <v>5</v>
      </c>
      <c r="W93" s="3">
        <v>6</v>
      </c>
      <c r="X93" s="3">
        <v>5</v>
      </c>
      <c r="Y93" s="3">
        <v>6</v>
      </c>
      <c r="Z93" s="3">
        <v>6</v>
      </c>
      <c r="AA93" s="3">
        <v>6</v>
      </c>
      <c r="AB93" s="3">
        <v>4</v>
      </c>
      <c r="AC93" s="3"/>
    </row>
    <row r="94" spans="1:29" x14ac:dyDescent="0.25">
      <c r="A94" s="3" t="s">
        <v>193</v>
      </c>
      <c r="B94" s="6">
        <v>46205</v>
      </c>
      <c r="C94" s="86">
        <v>0.625</v>
      </c>
      <c r="D94" s="91">
        <v>92</v>
      </c>
      <c r="E94" s="7">
        <f>VLOOKUP(Table1[[#This Row],[Course]],A:B,2,FALSE)</f>
        <v>72</v>
      </c>
      <c r="F94" s="4">
        <f>COUNTIF(K94:AB94,"&gt;=0") - COUNTIF(K94:AB94,"*[^0-9.]*")</f>
        <v>18</v>
      </c>
      <c r="G94" s="4">
        <f>Table1[[#This Row],[TOTAL]]-Table1[[#This Row],[PAR]]</f>
        <v>31</v>
      </c>
      <c r="H94" s="5">
        <f>J94+I94</f>
        <v>103</v>
      </c>
      <c r="I94" s="5">
        <f>SUM(K94:S94)</f>
        <v>48</v>
      </c>
      <c r="J94" s="5">
        <f>SUM(T94:AB94)</f>
        <v>55</v>
      </c>
      <c r="K94" s="3">
        <v>7</v>
      </c>
      <c r="L94" s="3">
        <v>4</v>
      </c>
      <c r="M94" s="3">
        <v>5</v>
      </c>
      <c r="N94" s="3">
        <v>9</v>
      </c>
      <c r="O94" s="3">
        <v>5</v>
      </c>
      <c r="P94" s="3">
        <v>4</v>
      </c>
      <c r="Q94" s="3">
        <v>4</v>
      </c>
      <c r="R94" s="3">
        <v>4</v>
      </c>
      <c r="S94" s="3">
        <v>6</v>
      </c>
      <c r="T94" s="3">
        <v>6</v>
      </c>
      <c r="U94" s="3">
        <v>4</v>
      </c>
      <c r="V94" s="3">
        <v>6</v>
      </c>
      <c r="W94" s="3">
        <v>9</v>
      </c>
      <c r="X94" s="3">
        <v>4</v>
      </c>
      <c r="Y94" s="3">
        <v>4</v>
      </c>
      <c r="Z94" s="3">
        <v>6</v>
      </c>
      <c r="AA94" s="3">
        <v>7</v>
      </c>
      <c r="AB94" s="3">
        <v>9</v>
      </c>
      <c r="AC94" s="3"/>
    </row>
    <row r="95" spans="1:29" x14ac:dyDescent="0.25">
      <c r="A95" s="3" t="s">
        <v>28</v>
      </c>
      <c r="B95" s="6">
        <v>46210</v>
      </c>
      <c r="C95" s="86">
        <v>0.625</v>
      </c>
      <c r="D95" s="91">
        <v>100</v>
      </c>
      <c r="E95" s="7">
        <f>VLOOKUP(Table1[[#This Row],[Course]],A:B,2,FALSE)</f>
        <v>72</v>
      </c>
      <c r="F95" s="4">
        <f t="shared" ref="F95" si="63">COUNTIF(K95:AB95,"&gt;=0") - COUNTIF(K95:AB95,"*[^0-9.]*")</f>
        <v>18</v>
      </c>
      <c r="G95" s="4">
        <f>Table1[[#This Row],[TOTAL]]-Table1[[#This Row],[PAR]]</f>
        <v>20</v>
      </c>
      <c r="H95" s="5">
        <f t="shared" ref="H95" si="64">J95+I95</f>
        <v>92</v>
      </c>
      <c r="I95" s="5">
        <f t="shared" ref="I95" si="65">SUM(K95:S95)</f>
        <v>43</v>
      </c>
      <c r="J95" s="5">
        <f t="shared" ref="J95" si="66">SUM(T95:AB95)</f>
        <v>49</v>
      </c>
      <c r="K95" s="3">
        <v>5</v>
      </c>
      <c r="L95" s="3">
        <v>6</v>
      </c>
      <c r="M95" s="3">
        <v>4</v>
      </c>
      <c r="N95" s="3">
        <v>6</v>
      </c>
      <c r="O95" s="3">
        <v>3</v>
      </c>
      <c r="P95" s="3">
        <v>4</v>
      </c>
      <c r="Q95" s="3">
        <v>4</v>
      </c>
      <c r="R95" s="3">
        <v>7</v>
      </c>
      <c r="S95" s="3">
        <v>4</v>
      </c>
      <c r="T95" s="3">
        <v>7</v>
      </c>
      <c r="U95" s="3">
        <v>5</v>
      </c>
      <c r="V95" s="3">
        <v>6</v>
      </c>
      <c r="W95" s="3">
        <v>3</v>
      </c>
      <c r="X95" s="3">
        <v>5</v>
      </c>
      <c r="Y95" s="3">
        <v>6</v>
      </c>
      <c r="Z95" s="3">
        <v>7</v>
      </c>
      <c r="AA95" s="3">
        <v>4</v>
      </c>
      <c r="AB95" s="3">
        <v>6</v>
      </c>
      <c r="AC95" s="3"/>
    </row>
    <row r="96" spans="1:29" x14ac:dyDescent="0.25">
      <c r="A96" s="3" t="s">
        <v>53</v>
      </c>
      <c r="B96" s="6">
        <v>46213</v>
      </c>
      <c r="C96" s="86">
        <v>0.27083333333333331</v>
      </c>
      <c r="D96" s="91">
        <v>85</v>
      </c>
      <c r="E96" s="7">
        <f>VLOOKUP(Table1[[#This Row],[Course]],A:B,2,FALSE)</f>
        <v>71</v>
      </c>
      <c r="F96" s="4">
        <f>COUNTIF(K96:AB96,"&gt;=0") - COUNTIF(K96:AB96,"*[^0-9.]*")</f>
        <v>18</v>
      </c>
      <c r="G96" s="89">
        <f>Table1[[#This Row],[TOTAL]]-Table1[[#This Row],[PAR]]</f>
        <v>27</v>
      </c>
      <c r="H96" s="5">
        <f>J96+I96</f>
        <v>98</v>
      </c>
      <c r="I96" s="5">
        <f>SUM(K96:S96)</f>
        <v>55</v>
      </c>
      <c r="J96" s="5">
        <f>SUM(T96:AB96)</f>
        <v>43</v>
      </c>
      <c r="K96" s="90">
        <v>8</v>
      </c>
      <c r="L96" s="90">
        <v>5</v>
      </c>
      <c r="M96" s="90">
        <v>7</v>
      </c>
      <c r="N96" s="90">
        <v>7</v>
      </c>
      <c r="O96" s="90">
        <v>4</v>
      </c>
      <c r="P96" s="90">
        <v>7</v>
      </c>
      <c r="Q96" s="90">
        <v>7</v>
      </c>
      <c r="R96" s="90">
        <v>3</v>
      </c>
      <c r="S96" s="90">
        <v>7</v>
      </c>
      <c r="T96" s="90">
        <v>7</v>
      </c>
      <c r="U96" s="90">
        <v>3</v>
      </c>
      <c r="V96" s="90">
        <v>4</v>
      </c>
      <c r="W96" s="90">
        <v>3</v>
      </c>
      <c r="X96" s="90">
        <v>3</v>
      </c>
      <c r="Y96" s="90">
        <v>6</v>
      </c>
      <c r="Z96" s="90">
        <v>4</v>
      </c>
      <c r="AA96" s="90">
        <v>7</v>
      </c>
      <c r="AB96" s="90">
        <v>6</v>
      </c>
      <c r="AC96" s="7" t="s">
        <v>200</v>
      </c>
    </row>
    <row r="97" spans="1:29" x14ac:dyDescent="0.25">
      <c r="B97" s="22"/>
      <c r="D97" s="2"/>
      <c r="E97" s="1"/>
      <c r="F97" s="1"/>
      <c r="G97" s="23"/>
      <c r="H97" s="23"/>
      <c r="I97" s="23"/>
    </row>
    <row r="98" spans="1:29" x14ac:dyDescent="0.25">
      <c r="A98" t="s">
        <v>196</v>
      </c>
    </row>
    <row r="99" spans="1:29" x14ac:dyDescent="0.25">
      <c r="A99" t="s">
        <v>51</v>
      </c>
    </row>
    <row r="100" spans="1:29" x14ac:dyDescent="0.25">
      <c r="A100" s="9" t="s">
        <v>2</v>
      </c>
      <c r="B100" s="85" t="s">
        <v>197</v>
      </c>
      <c r="C100" s="85" t="s">
        <v>198</v>
      </c>
      <c r="D100" s="85" t="s">
        <v>194</v>
      </c>
      <c r="E100" s="20" t="s">
        <v>22</v>
      </c>
      <c r="F100" s="11" t="s">
        <v>29</v>
      </c>
      <c r="G100" s="11" t="s">
        <v>34</v>
      </c>
      <c r="H100" s="10" t="s">
        <v>27</v>
      </c>
      <c r="I100" s="12" t="s">
        <v>0</v>
      </c>
      <c r="J100" s="12" t="s">
        <v>1</v>
      </c>
      <c r="K100" s="10" t="s">
        <v>4</v>
      </c>
      <c r="L100" s="10" t="s">
        <v>5</v>
      </c>
      <c r="M100" s="10" t="s">
        <v>6</v>
      </c>
      <c r="N100" s="10" t="s">
        <v>7</v>
      </c>
      <c r="O100" s="10" t="s">
        <v>8</v>
      </c>
      <c r="P100" s="10" t="s">
        <v>9</v>
      </c>
      <c r="Q100" s="10" t="s">
        <v>10</v>
      </c>
      <c r="R100" s="10" t="s">
        <v>11</v>
      </c>
      <c r="S100" s="10" t="s">
        <v>12</v>
      </c>
      <c r="T100" s="10" t="s">
        <v>13</v>
      </c>
      <c r="U100" s="10" t="s">
        <v>14</v>
      </c>
      <c r="V100" s="10" t="s">
        <v>15</v>
      </c>
      <c r="W100" s="10" t="s">
        <v>16</v>
      </c>
      <c r="X100" s="10" t="s">
        <v>17</v>
      </c>
      <c r="Y100" s="10" t="s">
        <v>18</v>
      </c>
      <c r="Z100" s="10" t="s">
        <v>19</v>
      </c>
      <c r="AA100" s="10" t="s">
        <v>20</v>
      </c>
      <c r="AB100" s="13" t="s">
        <v>21</v>
      </c>
      <c r="AC100" s="85" t="s">
        <v>199</v>
      </c>
    </row>
    <row r="101" spans="1:29" x14ac:dyDescent="0.25">
      <c r="A101" s="3" t="s">
        <v>28</v>
      </c>
      <c r="B101" s="6">
        <v>45681</v>
      </c>
      <c r="C101" s="86">
        <v>0.58333333333333337</v>
      </c>
      <c r="D101" s="91">
        <v>44</v>
      </c>
      <c r="E101" s="7">
        <v>72</v>
      </c>
      <c r="F101" s="4">
        <v>18</v>
      </c>
      <c r="G101" s="4">
        <v>21</v>
      </c>
      <c r="H101" s="5">
        <v>93</v>
      </c>
      <c r="I101" s="5">
        <v>47</v>
      </c>
      <c r="J101" s="5">
        <v>46</v>
      </c>
      <c r="K101" s="3">
        <v>6</v>
      </c>
      <c r="L101" s="3">
        <v>5</v>
      </c>
      <c r="M101" s="3">
        <v>5</v>
      </c>
      <c r="N101" s="3">
        <v>5</v>
      </c>
      <c r="O101" s="3">
        <v>5</v>
      </c>
      <c r="P101" s="3">
        <v>5</v>
      </c>
      <c r="Q101" s="3">
        <v>5</v>
      </c>
      <c r="R101" s="3">
        <v>6</v>
      </c>
      <c r="S101" s="3">
        <v>5</v>
      </c>
      <c r="T101" s="3">
        <v>7</v>
      </c>
      <c r="U101" s="3">
        <v>6</v>
      </c>
      <c r="V101" s="3">
        <v>5</v>
      </c>
      <c r="W101" s="3">
        <v>3</v>
      </c>
      <c r="X101" s="3">
        <v>6</v>
      </c>
      <c r="Y101" s="3">
        <v>6</v>
      </c>
      <c r="Z101" s="3">
        <v>6</v>
      </c>
      <c r="AA101" s="3">
        <v>2</v>
      </c>
      <c r="AB101" s="3">
        <v>5</v>
      </c>
      <c r="AC101" s="83"/>
    </row>
    <row r="102" spans="1:29" x14ac:dyDescent="0.25">
      <c r="A102" s="3" t="s">
        <v>28</v>
      </c>
      <c r="B102" s="6">
        <v>45695</v>
      </c>
      <c r="C102" s="86">
        <v>0.58333333333333337</v>
      </c>
      <c r="D102" s="91">
        <v>51</v>
      </c>
      <c r="E102" s="7">
        <v>72</v>
      </c>
      <c r="F102" s="4">
        <v>18</v>
      </c>
      <c r="G102" s="4">
        <v>22</v>
      </c>
      <c r="H102" s="5">
        <v>94</v>
      </c>
      <c r="I102" s="5">
        <v>48</v>
      </c>
      <c r="J102" s="5">
        <v>46</v>
      </c>
      <c r="K102" s="3">
        <v>6</v>
      </c>
      <c r="L102" s="3">
        <v>5</v>
      </c>
      <c r="M102" s="3">
        <v>5</v>
      </c>
      <c r="N102" s="3">
        <v>6</v>
      </c>
      <c r="O102" s="3">
        <v>4</v>
      </c>
      <c r="P102" s="3">
        <v>6</v>
      </c>
      <c r="Q102" s="3">
        <v>5</v>
      </c>
      <c r="R102" s="3">
        <v>6</v>
      </c>
      <c r="S102" s="3">
        <v>5</v>
      </c>
      <c r="T102" s="3">
        <v>7</v>
      </c>
      <c r="U102" s="3">
        <v>5</v>
      </c>
      <c r="V102" s="3">
        <v>4</v>
      </c>
      <c r="W102" s="3">
        <v>4</v>
      </c>
      <c r="X102" s="3">
        <v>4</v>
      </c>
      <c r="Y102" s="3">
        <v>8</v>
      </c>
      <c r="Z102" s="3">
        <v>5</v>
      </c>
      <c r="AA102" s="3">
        <v>4</v>
      </c>
      <c r="AB102" s="3">
        <v>5</v>
      </c>
      <c r="AC102" s="83"/>
    </row>
    <row r="103" spans="1:29" x14ac:dyDescent="0.25">
      <c r="A103" s="3" t="s">
        <v>30</v>
      </c>
      <c r="B103" s="6">
        <v>45711</v>
      </c>
      <c r="C103" s="86">
        <v>0.58333333333333337</v>
      </c>
      <c r="D103" s="91">
        <v>43</v>
      </c>
      <c r="E103" s="7">
        <v>72</v>
      </c>
      <c r="F103" s="4">
        <v>18</v>
      </c>
      <c r="G103" s="4">
        <v>16</v>
      </c>
      <c r="H103" s="5">
        <v>88</v>
      </c>
      <c r="I103" s="5">
        <v>45</v>
      </c>
      <c r="J103" s="5">
        <v>43</v>
      </c>
      <c r="K103" s="3">
        <v>5</v>
      </c>
      <c r="L103" s="3">
        <v>5</v>
      </c>
      <c r="M103" s="3">
        <v>4</v>
      </c>
      <c r="N103" s="3">
        <v>7</v>
      </c>
      <c r="O103" s="3">
        <v>6</v>
      </c>
      <c r="P103" s="3">
        <v>3</v>
      </c>
      <c r="Q103" s="3">
        <v>5</v>
      </c>
      <c r="R103" s="3">
        <v>5</v>
      </c>
      <c r="S103" s="3">
        <v>5</v>
      </c>
      <c r="T103" s="3">
        <v>4</v>
      </c>
      <c r="U103" s="3">
        <v>6</v>
      </c>
      <c r="V103" s="3">
        <v>4</v>
      </c>
      <c r="W103" s="3">
        <v>3</v>
      </c>
      <c r="X103" s="3">
        <v>6</v>
      </c>
      <c r="Y103" s="3">
        <v>4</v>
      </c>
      <c r="Z103" s="3">
        <v>5</v>
      </c>
      <c r="AA103" s="3">
        <v>5</v>
      </c>
      <c r="AB103" s="3">
        <v>6</v>
      </c>
      <c r="AC103" s="83"/>
    </row>
    <row r="104" spans="1:29" x14ac:dyDescent="0.25">
      <c r="A104" s="3" t="s">
        <v>30</v>
      </c>
      <c r="B104" s="6">
        <v>45712</v>
      </c>
      <c r="C104" s="86">
        <v>0.58333333333333337</v>
      </c>
      <c r="D104" s="91">
        <v>57</v>
      </c>
      <c r="E104" s="7">
        <v>72</v>
      </c>
      <c r="F104" s="4">
        <v>18</v>
      </c>
      <c r="G104" s="4">
        <v>19</v>
      </c>
      <c r="H104" s="5">
        <v>91</v>
      </c>
      <c r="I104" s="5">
        <v>44</v>
      </c>
      <c r="J104" s="5">
        <v>47</v>
      </c>
      <c r="K104" s="3">
        <v>5</v>
      </c>
      <c r="L104" s="3">
        <v>6</v>
      </c>
      <c r="M104" s="3">
        <v>5</v>
      </c>
      <c r="N104" s="3">
        <v>5</v>
      </c>
      <c r="O104" s="3">
        <v>5</v>
      </c>
      <c r="P104" s="3">
        <v>3</v>
      </c>
      <c r="Q104" s="3">
        <v>6</v>
      </c>
      <c r="R104" s="3">
        <v>5</v>
      </c>
      <c r="S104" s="3">
        <v>4</v>
      </c>
      <c r="T104" s="3">
        <v>5</v>
      </c>
      <c r="U104" s="3">
        <v>7</v>
      </c>
      <c r="V104" s="3">
        <v>5</v>
      </c>
      <c r="W104" s="3">
        <v>4</v>
      </c>
      <c r="X104" s="3">
        <v>7</v>
      </c>
      <c r="Y104" s="3">
        <v>3</v>
      </c>
      <c r="Z104" s="3">
        <v>5</v>
      </c>
      <c r="AA104" s="3">
        <v>5</v>
      </c>
      <c r="AB104" s="3">
        <v>6</v>
      </c>
      <c r="AC104" s="83"/>
    </row>
    <row r="105" spans="1:29" x14ac:dyDescent="0.25">
      <c r="A105" s="3" t="s">
        <v>30</v>
      </c>
      <c r="B105" s="6">
        <v>45714</v>
      </c>
      <c r="C105" s="86">
        <v>0.58333333333333337</v>
      </c>
      <c r="D105" s="91">
        <v>62</v>
      </c>
      <c r="E105" s="7">
        <v>72</v>
      </c>
      <c r="F105" s="4">
        <v>18</v>
      </c>
      <c r="G105" s="4">
        <v>22</v>
      </c>
      <c r="H105" s="5">
        <v>94</v>
      </c>
      <c r="I105" s="5">
        <v>45</v>
      </c>
      <c r="J105" s="5">
        <v>49</v>
      </c>
      <c r="K105" s="3">
        <v>6</v>
      </c>
      <c r="L105" s="3">
        <v>4</v>
      </c>
      <c r="M105" s="3">
        <v>4</v>
      </c>
      <c r="N105" s="3">
        <v>6</v>
      </c>
      <c r="O105" s="3">
        <v>7</v>
      </c>
      <c r="P105" s="3">
        <v>3</v>
      </c>
      <c r="Q105" s="3">
        <v>5</v>
      </c>
      <c r="R105" s="3">
        <v>6</v>
      </c>
      <c r="S105" s="3">
        <v>4</v>
      </c>
      <c r="T105" s="3">
        <v>6</v>
      </c>
      <c r="U105" s="3">
        <v>6</v>
      </c>
      <c r="V105" s="3">
        <v>4</v>
      </c>
      <c r="W105" s="3">
        <v>4</v>
      </c>
      <c r="X105" s="3">
        <v>6</v>
      </c>
      <c r="Y105" s="3">
        <v>4</v>
      </c>
      <c r="Z105" s="3">
        <v>6</v>
      </c>
      <c r="AA105" s="3">
        <v>7</v>
      </c>
      <c r="AB105" s="3">
        <v>6</v>
      </c>
      <c r="AC105" s="83"/>
    </row>
    <row r="106" spans="1:29" x14ac:dyDescent="0.25">
      <c r="A106" s="3" t="s">
        <v>3</v>
      </c>
      <c r="B106" s="6">
        <v>45716</v>
      </c>
      <c r="C106" s="86">
        <v>0.58333333333333337</v>
      </c>
      <c r="D106" s="91">
        <v>56</v>
      </c>
      <c r="E106" s="7">
        <v>72</v>
      </c>
      <c r="F106" s="4">
        <v>18</v>
      </c>
      <c r="G106" s="4">
        <v>16</v>
      </c>
      <c r="H106" s="5">
        <v>88</v>
      </c>
      <c r="I106" s="5">
        <v>44</v>
      </c>
      <c r="J106" s="5">
        <v>44</v>
      </c>
      <c r="K106" s="3">
        <v>5</v>
      </c>
      <c r="L106" s="3">
        <v>5</v>
      </c>
      <c r="M106" s="3">
        <v>7</v>
      </c>
      <c r="N106" s="3">
        <v>3</v>
      </c>
      <c r="O106" s="3">
        <v>5</v>
      </c>
      <c r="P106" s="3">
        <v>6</v>
      </c>
      <c r="Q106" s="3">
        <v>3</v>
      </c>
      <c r="R106" s="3">
        <v>4</v>
      </c>
      <c r="S106" s="3">
        <v>6</v>
      </c>
      <c r="T106" s="3">
        <v>4</v>
      </c>
      <c r="U106" s="3">
        <v>5</v>
      </c>
      <c r="V106" s="3">
        <v>5</v>
      </c>
      <c r="W106" s="3">
        <v>4</v>
      </c>
      <c r="X106" s="3">
        <v>4</v>
      </c>
      <c r="Y106" s="3">
        <v>5</v>
      </c>
      <c r="Z106" s="3">
        <v>5</v>
      </c>
      <c r="AA106" s="3">
        <v>5</v>
      </c>
      <c r="AB106" s="3">
        <v>7</v>
      </c>
      <c r="AC106" s="83"/>
    </row>
    <row r="107" spans="1:29" x14ac:dyDescent="0.25">
      <c r="A107" s="3" t="s">
        <v>3</v>
      </c>
      <c r="B107" s="6">
        <v>45754</v>
      </c>
      <c r="C107" s="86">
        <v>0.58333333333333337</v>
      </c>
      <c r="D107" s="91">
        <v>49</v>
      </c>
      <c r="E107" s="7">
        <v>72</v>
      </c>
      <c r="F107" s="4">
        <v>18</v>
      </c>
      <c r="G107" s="4">
        <v>19</v>
      </c>
      <c r="H107" s="5">
        <v>91</v>
      </c>
      <c r="I107" s="5">
        <v>46</v>
      </c>
      <c r="J107" s="5">
        <v>45</v>
      </c>
      <c r="K107" s="3">
        <v>5</v>
      </c>
      <c r="L107" s="3">
        <v>6</v>
      </c>
      <c r="M107" s="3">
        <v>6</v>
      </c>
      <c r="N107" s="3">
        <v>4</v>
      </c>
      <c r="O107" s="3">
        <v>4</v>
      </c>
      <c r="P107" s="3">
        <v>6</v>
      </c>
      <c r="Q107" s="3">
        <v>4</v>
      </c>
      <c r="R107" s="3">
        <v>5</v>
      </c>
      <c r="S107" s="3">
        <v>6</v>
      </c>
      <c r="T107" s="3">
        <v>5</v>
      </c>
      <c r="U107" s="3">
        <v>7</v>
      </c>
      <c r="V107" s="3">
        <v>3</v>
      </c>
      <c r="W107" s="3">
        <v>4</v>
      </c>
      <c r="X107" s="3">
        <v>4</v>
      </c>
      <c r="Y107" s="3">
        <v>5</v>
      </c>
      <c r="Z107" s="3">
        <v>6</v>
      </c>
      <c r="AA107" s="3">
        <v>5</v>
      </c>
      <c r="AB107" s="3">
        <v>6</v>
      </c>
      <c r="AC107" s="83"/>
    </row>
    <row r="108" spans="1:29" x14ac:dyDescent="0.25">
      <c r="A108" s="3" t="s">
        <v>3</v>
      </c>
      <c r="B108" s="6">
        <v>45755</v>
      </c>
      <c r="C108" s="86">
        <v>0.58333333333333337</v>
      </c>
      <c r="D108" s="91">
        <v>60</v>
      </c>
      <c r="E108" s="7">
        <v>72</v>
      </c>
      <c r="F108" s="4">
        <v>18</v>
      </c>
      <c r="G108" s="4">
        <v>17</v>
      </c>
      <c r="H108" s="5">
        <v>89</v>
      </c>
      <c r="I108" s="5">
        <v>44</v>
      </c>
      <c r="J108" s="5">
        <v>45</v>
      </c>
      <c r="K108" s="3">
        <v>5</v>
      </c>
      <c r="L108" s="3">
        <v>4</v>
      </c>
      <c r="M108" s="3">
        <v>7</v>
      </c>
      <c r="N108" s="3">
        <v>3</v>
      </c>
      <c r="O108" s="3">
        <v>6</v>
      </c>
      <c r="P108" s="3">
        <v>6</v>
      </c>
      <c r="Q108" s="3">
        <v>3</v>
      </c>
      <c r="R108" s="3">
        <v>6</v>
      </c>
      <c r="S108" s="3">
        <v>4</v>
      </c>
      <c r="T108" s="3">
        <v>5</v>
      </c>
      <c r="U108" s="3">
        <v>6</v>
      </c>
      <c r="V108" s="3">
        <v>4</v>
      </c>
      <c r="W108" s="3">
        <v>5</v>
      </c>
      <c r="X108" s="3">
        <v>3</v>
      </c>
      <c r="Y108" s="3">
        <v>5</v>
      </c>
      <c r="Z108" s="3">
        <v>6</v>
      </c>
      <c r="AA108" s="3">
        <v>4</v>
      </c>
      <c r="AB108" s="3">
        <v>7</v>
      </c>
      <c r="AC108" s="83"/>
    </row>
    <row r="109" spans="1:29" x14ac:dyDescent="0.25">
      <c r="A109" s="3" t="s">
        <v>30</v>
      </c>
      <c r="B109" s="6">
        <v>45757</v>
      </c>
      <c r="C109" s="86">
        <v>0.58333333333333337</v>
      </c>
      <c r="D109" s="91">
        <v>66</v>
      </c>
      <c r="E109" s="7">
        <v>72</v>
      </c>
      <c r="F109" s="4">
        <v>18</v>
      </c>
      <c r="G109" s="4">
        <v>17</v>
      </c>
      <c r="H109" s="5">
        <v>89</v>
      </c>
      <c r="I109" s="5">
        <v>44</v>
      </c>
      <c r="J109" s="5">
        <v>45</v>
      </c>
      <c r="K109" s="3">
        <v>6</v>
      </c>
      <c r="L109" s="3">
        <v>4</v>
      </c>
      <c r="M109" s="3">
        <v>3</v>
      </c>
      <c r="N109" s="3">
        <v>5</v>
      </c>
      <c r="O109" s="3">
        <v>7</v>
      </c>
      <c r="P109" s="3">
        <v>4</v>
      </c>
      <c r="Q109" s="3">
        <v>6</v>
      </c>
      <c r="R109" s="3">
        <v>4</v>
      </c>
      <c r="S109" s="3">
        <v>5</v>
      </c>
      <c r="T109" s="3">
        <v>5</v>
      </c>
      <c r="U109" s="3">
        <v>6</v>
      </c>
      <c r="V109" s="3">
        <v>5</v>
      </c>
      <c r="W109" s="3">
        <v>3</v>
      </c>
      <c r="X109" s="3">
        <v>7</v>
      </c>
      <c r="Y109" s="3">
        <v>4</v>
      </c>
      <c r="Z109" s="3">
        <v>6</v>
      </c>
      <c r="AA109" s="3">
        <v>5</v>
      </c>
      <c r="AB109" s="3">
        <v>4</v>
      </c>
      <c r="AC109" s="83"/>
    </row>
    <row r="110" spans="1:29" x14ac:dyDescent="0.25">
      <c r="A110" s="3" t="s">
        <v>31</v>
      </c>
      <c r="B110" s="6">
        <v>45853</v>
      </c>
      <c r="C110" s="86">
        <v>0.625</v>
      </c>
      <c r="D110" s="91">
        <v>89</v>
      </c>
      <c r="E110" s="7">
        <v>70</v>
      </c>
      <c r="F110" s="4">
        <v>18</v>
      </c>
      <c r="G110" s="4">
        <v>18</v>
      </c>
      <c r="H110" s="5">
        <v>88</v>
      </c>
      <c r="I110" s="5">
        <v>41</v>
      </c>
      <c r="J110" s="5">
        <v>47</v>
      </c>
      <c r="K110" s="3">
        <v>5</v>
      </c>
      <c r="L110" s="3">
        <v>4</v>
      </c>
      <c r="M110" s="3">
        <v>5</v>
      </c>
      <c r="N110" s="3">
        <v>4</v>
      </c>
      <c r="O110" s="3">
        <v>6</v>
      </c>
      <c r="P110" s="3">
        <v>4</v>
      </c>
      <c r="Q110" s="3">
        <v>5</v>
      </c>
      <c r="R110" s="3">
        <v>3</v>
      </c>
      <c r="S110" s="3">
        <v>5</v>
      </c>
      <c r="T110" s="3">
        <v>5</v>
      </c>
      <c r="U110" s="3">
        <v>5</v>
      </c>
      <c r="V110" s="3">
        <v>6</v>
      </c>
      <c r="W110" s="3">
        <v>6</v>
      </c>
      <c r="X110" s="3">
        <v>6</v>
      </c>
      <c r="Y110" s="3">
        <v>6</v>
      </c>
      <c r="Z110" s="3">
        <v>3</v>
      </c>
      <c r="AA110" s="3">
        <v>5</v>
      </c>
      <c r="AB110" s="3">
        <v>5</v>
      </c>
      <c r="AC110" s="83"/>
    </row>
    <row r="111" spans="1:29" x14ac:dyDescent="0.25">
      <c r="A111" s="3" t="s">
        <v>31</v>
      </c>
      <c r="B111" s="6">
        <v>45859</v>
      </c>
      <c r="C111" s="86">
        <v>0.625</v>
      </c>
      <c r="D111" s="91">
        <v>93</v>
      </c>
      <c r="E111" s="7">
        <v>70</v>
      </c>
      <c r="F111" s="4">
        <v>18</v>
      </c>
      <c r="G111" s="4">
        <v>23</v>
      </c>
      <c r="H111" s="5">
        <v>93</v>
      </c>
      <c r="I111" s="5">
        <v>42</v>
      </c>
      <c r="J111" s="5">
        <v>51</v>
      </c>
      <c r="K111" s="3">
        <v>5</v>
      </c>
      <c r="L111" s="3">
        <v>5</v>
      </c>
      <c r="M111" s="3">
        <v>5</v>
      </c>
      <c r="N111" s="3">
        <v>5</v>
      </c>
      <c r="O111" s="3">
        <v>6</v>
      </c>
      <c r="P111" s="3">
        <v>3</v>
      </c>
      <c r="Q111" s="3">
        <v>5</v>
      </c>
      <c r="R111" s="3">
        <v>4</v>
      </c>
      <c r="S111" s="3">
        <v>4</v>
      </c>
      <c r="T111" s="3">
        <v>5</v>
      </c>
      <c r="U111" s="3">
        <v>7</v>
      </c>
      <c r="V111" s="3">
        <v>5</v>
      </c>
      <c r="W111" s="3">
        <v>6</v>
      </c>
      <c r="X111" s="3">
        <v>5</v>
      </c>
      <c r="Y111" s="3">
        <v>6</v>
      </c>
      <c r="Z111" s="3">
        <v>6</v>
      </c>
      <c r="AA111" s="3">
        <v>6</v>
      </c>
      <c r="AB111" s="3">
        <v>5</v>
      </c>
      <c r="AC111" s="83"/>
    </row>
    <row r="112" spans="1:29" x14ac:dyDescent="0.25">
      <c r="A112" s="3" t="s">
        <v>31</v>
      </c>
      <c r="B112" s="6">
        <v>45862</v>
      </c>
      <c r="C112" s="86">
        <v>0.625</v>
      </c>
      <c r="D112" s="91">
        <v>84</v>
      </c>
      <c r="E112" s="7">
        <v>70</v>
      </c>
      <c r="F112" s="4">
        <v>18</v>
      </c>
      <c r="G112" s="4">
        <v>13</v>
      </c>
      <c r="H112" s="5">
        <v>83</v>
      </c>
      <c r="I112" s="5">
        <v>41</v>
      </c>
      <c r="J112" s="5">
        <v>42</v>
      </c>
      <c r="K112" s="3">
        <v>6</v>
      </c>
      <c r="L112" s="3">
        <v>4</v>
      </c>
      <c r="M112" s="3">
        <v>4</v>
      </c>
      <c r="N112" s="3">
        <v>3</v>
      </c>
      <c r="O112" s="3">
        <v>5</v>
      </c>
      <c r="P112" s="3">
        <v>4</v>
      </c>
      <c r="Q112" s="3">
        <v>5</v>
      </c>
      <c r="R112" s="3">
        <v>5</v>
      </c>
      <c r="S112" s="3">
        <v>5</v>
      </c>
      <c r="T112" s="3">
        <v>4</v>
      </c>
      <c r="U112" s="3">
        <v>4</v>
      </c>
      <c r="V112" s="3">
        <v>6</v>
      </c>
      <c r="W112" s="3">
        <v>4</v>
      </c>
      <c r="X112" s="3">
        <v>6</v>
      </c>
      <c r="Y112" s="3">
        <v>6</v>
      </c>
      <c r="Z112" s="3">
        <v>3</v>
      </c>
      <c r="AA112" s="3">
        <v>4</v>
      </c>
      <c r="AB112" s="3">
        <v>5</v>
      </c>
      <c r="AC112" s="83"/>
    </row>
    <row r="113" spans="1:29" x14ac:dyDescent="0.25">
      <c r="A113" s="3" t="s">
        <v>28</v>
      </c>
      <c r="B113" s="6">
        <v>45863</v>
      </c>
      <c r="C113" s="86">
        <v>0.625</v>
      </c>
      <c r="D113" s="91">
        <v>92</v>
      </c>
      <c r="E113" s="7">
        <v>72</v>
      </c>
      <c r="F113" s="4">
        <v>18</v>
      </c>
      <c r="G113" s="4">
        <v>9</v>
      </c>
      <c r="H113" s="5">
        <v>81</v>
      </c>
      <c r="I113" s="5">
        <v>41</v>
      </c>
      <c r="J113" s="5">
        <v>40</v>
      </c>
      <c r="K113" s="3">
        <v>3</v>
      </c>
      <c r="L113" s="3">
        <v>4</v>
      </c>
      <c r="M113" s="3">
        <v>5</v>
      </c>
      <c r="N113" s="3">
        <v>6</v>
      </c>
      <c r="O113" s="3">
        <v>4</v>
      </c>
      <c r="P113" s="3">
        <v>4</v>
      </c>
      <c r="Q113" s="3">
        <v>5</v>
      </c>
      <c r="R113" s="3">
        <v>5</v>
      </c>
      <c r="S113" s="3">
        <v>5</v>
      </c>
      <c r="T113" s="3">
        <v>6</v>
      </c>
      <c r="U113" s="3">
        <v>4</v>
      </c>
      <c r="V113" s="3">
        <v>4</v>
      </c>
      <c r="W113" s="3">
        <v>4</v>
      </c>
      <c r="X113" s="3">
        <v>4</v>
      </c>
      <c r="Y113" s="3">
        <v>5</v>
      </c>
      <c r="Z113" s="3">
        <v>6</v>
      </c>
      <c r="AA113" s="3">
        <v>3</v>
      </c>
      <c r="AB113" s="3">
        <v>4</v>
      </c>
      <c r="AC113" s="83"/>
    </row>
    <row r="114" spans="1:29" x14ac:dyDescent="0.25">
      <c r="A114" s="3" t="s">
        <v>30</v>
      </c>
      <c r="B114" s="6">
        <v>45882</v>
      </c>
      <c r="C114" s="86">
        <v>0.625</v>
      </c>
      <c r="D114" s="91">
        <v>83</v>
      </c>
      <c r="E114" s="7">
        <v>72</v>
      </c>
      <c r="F114" s="4">
        <v>18</v>
      </c>
      <c r="G114" s="4">
        <v>18</v>
      </c>
      <c r="H114" s="5">
        <v>90</v>
      </c>
      <c r="I114" s="5">
        <v>45</v>
      </c>
      <c r="J114" s="5">
        <v>45</v>
      </c>
      <c r="K114" s="3">
        <v>6</v>
      </c>
      <c r="L114" s="3">
        <v>7</v>
      </c>
      <c r="M114" s="3">
        <v>6</v>
      </c>
      <c r="N114" s="3">
        <v>7</v>
      </c>
      <c r="O114" s="3">
        <v>4</v>
      </c>
      <c r="P114" s="3">
        <v>3</v>
      </c>
      <c r="Q114" s="3">
        <v>4</v>
      </c>
      <c r="R114" s="3">
        <v>4</v>
      </c>
      <c r="S114" s="3">
        <v>4</v>
      </c>
      <c r="T114" s="3">
        <v>7</v>
      </c>
      <c r="U114" s="3">
        <v>6</v>
      </c>
      <c r="V114" s="3">
        <v>3</v>
      </c>
      <c r="W114" s="3">
        <v>3</v>
      </c>
      <c r="X114" s="3">
        <v>6</v>
      </c>
      <c r="Y114" s="3">
        <v>4</v>
      </c>
      <c r="Z114" s="3">
        <v>6</v>
      </c>
      <c r="AA114" s="3">
        <v>6</v>
      </c>
      <c r="AB114" s="3">
        <v>4</v>
      </c>
      <c r="AC114" s="83"/>
    </row>
    <row r="115" spans="1:29" x14ac:dyDescent="0.25">
      <c r="A115" s="3" t="s">
        <v>31</v>
      </c>
      <c r="B115" s="6">
        <v>45888</v>
      </c>
      <c r="C115" s="86">
        <v>0.625</v>
      </c>
      <c r="D115" s="91">
        <v>89</v>
      </c>
      <c r="E115" s="7">
        <v>70</v>
      </c>
      <c r="F115" s="4">
        <v>18</v>
      </c>
      <c r="G115" s="4">
        <v>14</v>
      </c>
      <c r="H115" s="5">
        <v>84</v>
      </c>
      <c r="I115" s="5">
        <v>39</v>
      </c>
      <c r="J115" s="5">
        <v>45</v>
      </c>
      <c r="K115" s="3">
        <v>5</v>
      </c>
      <c r="L115" s="3">
        <v>4</v>
      </c>
      <c r="M115" s="3">
        <v>5</v>
      </c>
      <c r="N115" s="3">
        <v>3</v>
      </c>
      <c r="O115" s="3">
        <v>6</v>
      </c>
      <c r="P115" s="3">
        <v>4</v>
      </c>
      <c r="Q115" s="3">
        <v>4</v>
      </c>
      <c r="R115" s="3">
        <v>4</v>
      </c>
      <c r="S115" s="3">
        <v>4</v>
      </c>
      <c r="T115" s="3">
        <v>5</v>
      </c>
      <c r="U115" s="3">
        <v>4</v>
      </c>
      <c r="V115" s="3">
        <v>6</v>
      </c>
      <c r="W115" s="3">
        <v>4</v>
      </c>
      <c r="X115" s="3">
        <v>5</v>
      </c>
      <c r="Y115" s="3">
        <v>6</v>
      </c>
      <c r="Z115" s="3">
        <v>3</v>
      </c>
      <c r="AA115" s="3">
        <v>7</v>
      </c>
      <c r="AB115" s="3">
        <v>5</v>
      </c>
      <c r="AC115" s="83"/>
    </row>
    <row r="116" spans="1:29" x14ac:dyDescent="0.25">
      <c r="A116" s="3" t="s">
        <v>31</v>
      </c>
      <c r="B116" s="6">
        <v>45890</v>
      </c>
      <c r="C116" s="86">
        <v>0.625</v>
      </c>
      <c r="D116" s="91">
        <v>81</v>
      </c>
      <c r="E116" s="7">
        <v>70</v>
      </c>
      <c r="F116" s="4">
        <v>18</v>
      </c>
      <c r="G116" s="4">
        <v>58</v>
      </c>
      <c r="H116" s="5">
        <v>128</v>
      </c>
      <c r="I116" s="5">
        <v>47</v>
      </c>
      <c r="J116" s="5">
        <v>81</v>
      </c>
      <c r="K116" s="3">
        <v>6</v>
      </c>
      <c r="L116" s="3">
        <v>4</v>
      </c>
      <c r="M116" s="3">
        <v>5</v>
      </c>
      <c r="N116" s="3">
        <v>4</v>
      </c>
      <c r="O116" s="3">
        <v>5</v>
      </c>
      <c r="P116" s="3">
        <v>5</v>
      </c>
      <c r="Q116" s="3">
        <v>6</v>
      </c>
      <c r="R116" s="3">
        <v>6</v>
      </c>
      <c r="S116" s="3">
        <v>6</v>
      </c>
      <c r="T116" s="3">
        <v>7</v>
      </c>
      <c r="U116" s="3">
        <v>4</v>
      </c>
      <c r="V116" s="3">
        <v>10</v>
      </c>
      <c r="W116" s="3">
        <v>10</v>
      </c>
      <c r="X116" s="3">
        <v>10</v>
      </c>
      <c r="Y116" s="3">
        <v>10</v>
      </c>
      <c r="Z116" s="3">
        <v>10</v>
      </c>
      <c r="AA116" s="3">
        <v>10</v>
      </c>
      <c r="AB116" s="3">
        <v>10</v>
      </c>
      <c r="AC116" s="83" t="s">
        <v>87</v>
      </c>
    </row>
    <row r="117" spans="1:29" x14ac:dyDescent="0.25">
      <c r="A117" s="3" t="s">
        <v>31</v>
      </c>
      <c r="B117" s="6">
        <v>45895</v>
      </c>
      <c r="C117" s="86">
        <v>0.625</v>
      </c>
      <c r="D117" s="91">
        <v>94</v>
      </c>
      <c r="E117" s="7">
        <v>70</v>
      </c>
      <c r="F117" s="4">
        <v>18</v>
      </c>
      <c r="G117" s="4">
        <v>17</v>
      </c>
      <c r="H117" s="5">
        <v>87</v>
      </c>
      <c r="I117" s="5">
        <v>46</v>
      </c>
      <c r="J117" s="5">
        <v>41</v>
      </c>
      <c r="K117" s="3">
        <v>5</v>
      </c>
      <c r="L117" s="3">
        <v>4</v>
      </c>
      <c r="M117" s="3">
        <v>6</v>
      </c>
      <c r="N117" s="3">
        <v>4</v>
      </c>
      <c r="O117" s="3">
        <v>10</v>
      </c>
      <c r="P117" s="3">
        <v>4</v>
      </c>
      <c r="Q117" s="3">
        <v>4</v>
      </c>
      <c r="R117" s="3">
        <v>4</v>
      </c>
      <c r="S117" s="3">
        <v>5</v>
      </c>
      <c r="T117" s="3">
        <v>5</v>
      </c>
      <c r="U117" s="3">
        <v>4</v>
      </c>
      <c r="V117" s="3">
        <v>4</v>
      </c>
      <c r="W117" s="3">
        <v>6</v>
      </c>
      <c r="X117" s="3">
        <v>4</v>
      </c>
      <c r="Y117" s="3">
        <v>6</v>
      </c>
      <c r="Z117" s="3">
        <v>3</v>
      </c>
      <c r="AA117" s="3">
        <v>4</v>
      </c>
      <c r="AB117" s="3">
        <v>5</v>
      </c>
      <c r="AC117" s="83"/>
    </row>
    <row r="118" spans="1:29" x14ac:dyDescent="0.25">
      <c r="A118" s="3" t="s">
        <v>28</v>
      </c>
      <c r="B118" s="6">
        <v>45904</v>
      </c>
      <c r="C118" s="86">
        <v>0.625</v>
      </c>
      <c r="D118" s="91">
        <v>75</v>
      </c>
      <c r="E118" s="7">
        <v>72</v>
      </c>
      <c r="F118" s="4">
        <v>18</v>
      </c>
      <c r="G118" s="4">
        <v>16</v>
      </c>
      <c r="H118" s="5">
        <v>88</v>
      </c>
      <c r="I118" s="5">
        <v>44</v>
      </c>
      <c r="J118" s="5">
        <v>44</v>
      </c>
      <c r="K118" s="3">
        <v>6</v>
      </c>
      <c r="L118" s="3">
        <v>4</v>
      </c>
      <c r="M118" s="3">
        <v>4</v>
      </c>
      <c r="N118" s="3">
        <v>6</v>
      </c>
      <c r="O118" s="3">
        <v>5</v>
      </c>
      <c r="P118" s="3">
        <v>4</v>
      </c>
      <c r="Q118" s="3">
        <v>4</v>
      </c>
      <c r="R118" s="3">
        <v>4</v>
      </c>
      <c r="S118" s="3">
        <v>7</v>
      </c>
      <c r="T118" s="3">
        <v>5</v>
      </c>
      <c r="U118" s="3">
        <v>4</v>
      </c>
      <c r="V118" s="3">
        <v>5</v>
      </c>
      <c r="W118" s="3">
        <v>5</v>
      </c>
      <c r="X118" s="3">
        <v>4</v>
      </c>
      <c r="Y118" s="3">
        <v>5</v>
      </c>
      <c r="Z118" s="3">
        <v>8</v>
      </c>
      <c r="AA118" s="3">
        <v>3</v>
      </c>
      <c r="AB118" s="3">
        <v>5</v>
      </c>
      <c r="AC118" s="83"/>
    </row>
    <row r="119" spans="1:29" x14ac:dyDescent="0.25">
      <c r="A119" s="3" t="s">
        <v>53</v>
      </c>
      <c r="B119" s="6">
        <v>45905</v>
      </c>
      <c r="C119" s="86">
        <v>0.625</v>
      </c>
      <c r="D119" s="91">
        <v>80</v>
      </c>
      <c r="E119" s="7">
        <v>71</v>
      </c>
      <c r="F119" s="4">
        <v>18</v>
      </c>
      <c r="G119" s="4">
        <v>18</v>
      </c>
      <c r="H119" s="5">
        <v>89</v>
      </c>
      <c r="I119" s="5">
        <v>40</v>
      </c>
      <c r="J119" s="5">
        <v>49</v>
      </c>
      <c r="K119" s="3">
        <v>4</v>
      </c>
      <c r="L119" s="3">
        <v>4</v>
      </c>
      <c r="M119" s="3">
        <v>6</v>
      </c>
      <c r="N119" s="3">
        <v>5</v>
      </c>
      <c r="O119" s="3">
        <v>4</v>
      </c>
      <c r="P119" s="3">
        <v>5</v>
      </c>
      <c r="Q119" s="3">
        <v>4</v>
      </c>
      <c r="R119" s="3">
        <v>3</v>
      </c>
      <c r="S119" s="3">
        <v>5</v>
      </c>
      <c r="T119" s="3">
        <v>5</v>
      </c>
      <c r="U119" s="3">
        <v>3</v>
      </c>
      <c r="V119" s="3">
        <v>5</v>
      </c>
      <c r="W119" s="3">
        <v>4</v>
      </c>
      <c r="X119" s="3">
        <v>4</v>
      </c>
      <c r="Y119" s="3">
        <v>7</v>
      </c>
      <c r="Z119" s="3">
        <v>6</v>
      </c>
      <c r="AA119" s="3">
        <v>8</v>
      </c>
      <c r="AB119" s="3">
        <v>7</v>
      </c>
      <c r="AC119" s="83"/>
    </row>
    <row r="120" spans="1:29" x14ac:dyDescent="0.25">
      <c r="A120" s="3" t="s">
        <v>31</v>
      </c>
      <c r="B120" s="6">
        <v>45910</v>
      </c>
      <c r="C120" s="86">
        <v>0.625</v>
      </c>
      <c r="D120" s="91">
        <v>88</v>
      </c>
      <c r="E120" s="7">
        <v>70</v>
      </c>
      <c r="F120" s="4">
        <v>18</v>
      </c>
      <c r="G120" s="4">
        <v>17</v>
      </c>
      <c r="H120" s="5">
        <v>87</v>
      </c>
      <c r="I120" s="5">
        <v>41</v>
      </c>
      <c r="J120" s="5">
        <v>46</v>
      </c>
      <c r="K120" s="3">
        <v>4</v>
      </c>
      <c r="L120" s="3">
        <v>5</v>
      </c>
      <c r="M120" s="3">
        <v>5</v>
      </c>
      <c r="N120" s="3">
        <v>3</v>
      </c>
      <c r="O120" s="3">
        <v>7</v>
      </c>
      <c r="P120" s="3">
        <v>5</v>
      </c>
      <c r="Q120" s="3">
        <v>4</v>
      </c>
      <c r="R120" s="3">
        <v>3</v>
      </c>
      <c r="S120" s="3">
        <v>5</v>
      </c>
      <c r="T120" s="3">
        <v>5</v>
      </c>
      <c r="U120" s="3">
        <v>5</v>
      </c>
      <c r="V120" s="3">
        <v>3</v>
      </c>
      <c r="W120" s="3">
        <v>6</v>
      </c>
      <c r="X120" s="3">
        <v>6</v>
      </c>
      <c r="Y120" s="3">
        <v>6</v>
      </c>
      <c r="Z120" s="3">
        <v>5</v>
      </c>
      <c r="AA120" s="3">
        <v>5</v>
      </c>
      <c r="AB120" s="3">
        <v>5</v>
      </c>
      <c r="AC120" s="83"/>
    </row>
    <row r="121" spans="1:29" x14ac:dyDescent="0.25">
      <c r="A121" s="3" t="s">
        <v>28</v>
      </c>
      <c r="B121" s="6">
        <v>45917</v>
      </c>
      <c r="C121" s="86">
        <v>0.625</v>
      </c>
      <c r="D121" s="91">
        <v>74</v>
      </c>
      <c r="E121" s="7">
        <v>72</v>
      </c>
      <c r="F121" s="4">
        <v>18</v>
      </c>
      <c r="G121" s="4">
        <v>22</v>
      </c>
      <c r="H121" s="5">
        <v>94</v>
      </c>
      <c r="I121" s="5">
        <v>48</v>
      </c>
      <c r="J121" s="5">
        <v>46</v>
      </c>
      <c r="K121" s="3">
        <v>6</v>
      </c>
      <c r="L121" s="3">
        <v>5</v>
      </c>
      <c r="M121" s="3">
        <v>5</v>
      </c>
      <c r="N121" s="3">
        <v>6</v>
      </c>
      <c r="O121" s="3">
        <v>4</v>
      </c>
      <c r="P121" s="3">
        <v>6</v>
      </c>
      <c r="Q121" s="3">
        <v>5</v>
      </c>
      <c r="R121" s="3">
        <v>6</v>
      </c>
      <c r="S121" s="3">
        <v>5</v>
      </c>
      <c r="T121" s="3">
        <v>7</v>
      </c>
      <c r="U121" s="3">
        <v>5</v>
      </c>
      <c r="V121" s="3">
        <v>4</v>
      </c>
      <c r="W121" s="3">
        <v>4</v>
      </c>
      <c r="X121" s="3">
        <v>4</v>
      </c>
      <c r="Y121" s="3">
        <v>8</v>
      </c>
      <c r="Z121" s="3">
        <v>5</v>
      </c>
      <c r="AA121" s="3">
        <v>4</v>
      </c>
      <c r="AB121" s="3">
        <v>5</v>
      </c>
      <c r="AC121" s="83"/>
    </row>
    <row r="122" spans="1:29" x14ac:dyDescent="0.25">
      <c r="A122" s="3" t="s">
        <v>31</v>
      </c>
      <c r="B122" s="6">
        <v>45925</v>
      </c>
      <c r="C122" s="86">
        <v>0.625</v>
      </c>
      <c r="D122" s="91">
        <v>78</v>
      </c>
      <c r="E122" s="7">
        <v>70</v>
      </c>
      <c r="F122" s="4">
        <v>18</v>
      </c>
      <c r="G122" s="4">
        <v>9</v>
      </c>
      <c r="H122" s="5">
        <v>79</v>
      </c>
      <c r="I122" s="5">
        <v>39</v>
      </c>
      <c r="J122" s="5">
        <v>40</v>
      </c>
      <c r="K122" s="3">
        <v>4</v>
      </c>
      <c r="L122" s="3">
        <v>4</v>
      </c>
      <c r="M122" s="3">
        <v>4</v>
      </c>
      <c r="N122" s="3">
        <v>5</v>
      </c>
      <c r="O122" s="3">
        <v>5</v>
      </c>
      <c r="P122" s="3">
        <v>4</v>
      </c>
      <c r="Q122" s="3">
        <v>4</v>
      </c>
      <c r="R122" s="3">
        <v>3</v>
      </c>
      <c r="S122" s="3">
        <v>6</v>
      </c>
      <c r="T122" s="3">
        <v>6</v>
      </c>
      <c r="U122" s="3">
        <v>6</v>
      </c>
      <c r="V122" s="3">
        <v>3</v>
      </c>
      <c r="W122" s="3">
        <v>4</v>
      </c>
      <c r="X122" s="3">
        <v>4</v>
      </c>
      <c r="Y122" s="3">
        <v>5</v>
      </c>
      <c r="Z122" s="3">
        <v>3</v>
      </c>
      <c r="AA122" s="3">
        <v>5</v>
      </c>
      <c r="AB122" s="3">
        <v>4</v>
      </c>
      <c r="AC122" s="83"/>
    </row>
    <row r="123" spans="1:29" x14ac:dyDescent="0.25">
      <c r="A123" s="3" t="s">
        <v>56</v>
      </c>
      <c r="B123" s="6">
        <v>45928</v>
      </c>
      <c r="C123" s="86">
        <v>0.625</v>
      </c>
      <c r="D123" s="91">
        <v>71</v>
      </c>
      <c r="E123" s="7">
        <v>72</v>
      </c>
      <c r="F123" s="4">
        <v>18</v>
      </c>
      <c r="G123" s="4">
        <v>19</v>
      </c>
      <c r="H123" s="5">
        <v>91</v>
      </c>
      <c r="I123" s="5">
        <v>47</v>
      </c>
      <c r="J123" s="5">
        <v>44</v>
      </c>
      <c r="K123" s="3">
        <v>6</v>
      </c>
      <c r="L123" s="3">
        <v>6</v>
      </c>
      <c r="M123" s="3">
        <v>6</v>
      </c>
      <c r="N123" s="3">
        <v>5</v>
      </c>
      <c r="O123" s="3">
        <v>6</v>
      </c>
      <c r="P123" s="3">
        <v>4</v>
      </c>
      <c r="Q123" s="3">
        <v>5</v>
      </c>
      <c r="R123" s="3">
        <v>4</v>
      </c>
      <c r="S123" s="3">
        <v>5</v>
      </c>
      <c r="T123" s="3">
        <v>5</v>
      </c>
      <c r="U123" s="3">
        <v>4</v>
      </c>
      <c r="V123" s="3">
        <v>6</v>
      </c>
      <c r="W123" s="3">
        <v>6</v>
      </c>
      <c r="X123" s="3">
        <v>6</v>
      </c>
      <c r="Y123" s="3">
        <v>3</v>
      </c>
      <c r="Z123" s="3">
        <v>6</v>
      </c>
      <c r="AA123" s="3">
        <v>4</v>
      </c>
      <c r="AB123" s="3">
        <v>4</v>
      </c>
      <c r="AC123" s="83"/>
    </row>
    <row r="124" spans="1:29" x14ac:dyDescent="0.25">
      <c r="A124" s="3" t="s">
        <v>31</v>
      </c>
      <c r="B124" s="6">
        <v>45930</v>
      </c>
      <c r="C124" s="86">
        <v>0.625</v>
      </c>
      <c r="D124" s="91">
        <v>86</v>
      </c>
      <c r="E124" s="7">
        <v>70</v>
      </c>
      <c r="F124" s="4">
        <v>18</v>
      </c>
      <c r="G124" s="4">
        <v>19</v>
      </c>
      <c r="H124" s="5">
        <v>89</v>
      </c>
      <c r="I124" s="5">
        <v>42</v>
      </c>
      <c r="J124" s="5">
        <v>47</v>
      </c>
      <c r="K124" s="3">
        <v>4</v>
      </c>
      <c r="L124" s="3">
        <v>4</v>
      </c>
      <c r="M124" s="3">
        <v>7</v>
      </c>
      <c r="N124" s="3">
        <v>3</v>
      </c>
      <c r="O124" s="3">
        <v>5</v>
      </c>
      <c r="P124" s="3">
        <v>4</v>
      </c>
      <c r="Q124" s="3">
        <v>6</v>
      </c>
      <c r="R124" s="3">
        <v>4</v>
      </c>
      <c r="S124" s="3">
        <v>5</v>
      </c>
      <c r="T124" s="3">
        <v>5</v>
      </c>
      <c r="U124" s="3">
        <v>6</v>
      </c>
      <c r="V124" s="3">
        <v>5</v>
      </c>
      <c r="W124" s="3">
        <v>6</v>
      </c>
      <c r="X124" s="3">
        <v>4</v>
      </c>
      <c r="Y124" s="3">
        <v>5</v>
      </c>
      <c r="Z124" s="3">
        <v>5</v>
      </c>
      <c r="AA124" s="3">
        <v>5</v>
      </c>
      <c r="AB124" s="3">
        <v>6</v>
      </c>
      <c r="AC124" s="83"/>
    </row>
    <row r="125" spans="1:29" x14ac:dyDescent="0.25">
      <c r="A125" s="3" t="s">
        <v>31</v>
      </c>
      <c r="B125" s="6">
        <v>45952</v>
      </c>
      <c r="C125" s="86">
        <v>0.625</v>
      </c>
      <c r="D125" s="91">
        <v>70</v>
      </c>
      <c r="E125" s="7">
        <v>70</v>
      </c>
      <c r="F125" s="4">
        <v>18</v>
      </c>
      <c r="G125" s="4">
        <v>15</v>
      </c>
      <c r="H125" s="5">
        <v>85</v>
      </c>
      <c r="I125" s="5">
        <v>41</v>
      </c>
      <c r="J125" s="5">
        <v>44</v>
      </c>
      <c r="K125" s="3">
        <v>5</v>
      </c>
      <c r="L125" s="3">
        <v>4</v>
      </c>
      <c r="M125" s="3">
        <v>5</v>
      </c>
      <c r="N125" s="3">
        <v>4</v>
      </c>
      <c r="O125" s="3">
        <v>5</v>
      </c>
      <c r="P125" s="3">
        <v>4</v>
      </c>
      <c r="Q125" s="3">
        <v>4</v>
      </c>
      <c r="R125" s="3">
        <v>4</v>
      </c>
      <c r="S125" s="3">
        <v>6</v>
      </c>
      <c r="T125" s="3">
        <v>4</v>
      </c>
      <c r="U125" s="3">
        <v>4</v>
      </c>
      <c r="V125" s="3">
        <v>4</v>
      </c>
      <c r="W125" s="3">
        <v>6</v>
      </c>
      <c r="X125" s="3">
        <v>4</v>
      </c>
      <c r="Y125" s="3">
        <v>8</v>
      </c>
      <c r="Z125" s="3">
        <v>3</v>
      </c>
      <c r="AA125" s="3">
        <v>4</v>
      </c>
      <c r="AB125" s="3">
        <v>7</v>
      </c>
      <c r="AC125" s="83"/>
    </row>
    <row r="126" spans="1:29" x14ac:dyDescent="0.25">
      <c r="A126" s="3" t="s">
        <v>28</v>
      </c>
      <c r="B126" s="6">
        <v>45968</v>
      </c>
      <c r="C126" s="86">
        <v>0.625</v>
      </c>
      <c r="D126" s="91">
        <v>55</v>
      </c>
      <c r="E126" s="7">
        <v>72</v>
      </c>
      <c r="F126" s="4">
        <v>18</v>
      </c>
      <c r="G126" s="4">
        <v>27</v>
      </c>
      <c r="H126" s="5">
        <v>99</v>
      </c>
      <c r="I126" s="5">
        <v>49</v>
      </c>
      <c r="J126" s="5">
        <v>50</v>
      </c>
      <c r="K126" s="3">
        <v>5</v>
      </c>
      <c r="L126" s="3">
        <v>5</v>
      </c>
      <c r="M126" s="3">
        <v>6</v>
      </c>
      <c r="N126" s="3">
        <v>7</v>
      </c>
      <c r="O126" s="3">
        <v>3</v>
      </c>
      <c r="P126" s="3">
        <v>6</v>
      </c>
      <c r="Q126" s="3">
        <v>6</v>
      </c>
      <c r="R126" s="3">
        <v>6</v>
      </c>
      <c r="S126" s="3">
        <v>5</v>
      </c>
      <c r="T126" s="3">
        <v>5</v>
      </c>
      <c r="U126" s="3">
        <v>6</v>
      </c>
      <c r="V126" s="3">
        <v>6</v>
      </c>
      <c r="W126" s="3">
        <v>2</v>
      </c>
      <c r="X126" s="3">
        <v>6</v>
      </c>
      <c r="Y126" s="3">
        <v>9</v>
      </c>
      <c r="Z126" s="3">
        <v>8</v>
      </c>
      <c r="AA126" s="3">
        <v>3</v>
      </c>
      <c r="AB126" s="3">
        <v>5</v>
      </c>
      <c r="AC126" s="83"/>
    </row>
    <row r="127" spans="1:29" x14ac:dyDescent="0.25">
      <c r="A127" s="3" t="s">
        <v>3</v>
      </c>
      <c r="B127" s="6">
        <v>45969</v>
      </c>
      <c r="C127" s="86">
        <v>0.625</v>
      </c>
      <c r="D127" s="91">
        <v>51</v>
      </c>
      <c r="E127" s="7">
        <v>72</v>
      </c>
      <c r="F127" s="4">
        <v>18</v>
      </c>
      <c r="G127" s="4">
        <v>29</v>
      </c>
      <c r="H127" s="5">
        <v>101</v>
      </c>
      <c r="I127" s="5">
        <v>50</v>
      </c>
      <c r="J127" s="5">
        <v>51</v>
      </c>
      <c r="K127" s="3">
        <v>5</v>
      </c>
      <c r="L127" s="3">
        <v>7</v>
      </c>
      <c r="M127" s="3">
        <v>7</v>
      </c>
      <c r="N127" s="3">
        <v>4</v>
      </c>
      <c r="O127" s="3">
        <v>4</v>
      </c>
      <c r="P127" s="3">
        <v>5</v>
      </c>
      <c r="Q127" s="3">
        <v>6</v>
      </c>
      <c r="R127" s="3">
        <v>8</v>
      </c>
      <c r="S127" s="3">
        <v>4</v>
      </c>
      <c r="T127" s="3">
        <v>6</v>
      </c>
      <c r="U127" s="3">
        <v>4</v>
      </c>
      <c r="V127" s="3">
        <v>6</v>
      </c>
      <c r="W127" s="3">
        <v>6</v>
      </c>
      <c r="X127" s="3">
        <v>3</v>
      </c>
      <c r="Y127" s="3">
        <v>5</v>
      </c>
      <c r="Z127" s="3">
        <v>7</v>
      </c>
      <c r="AA127" s="3">
        <v>7</v>
      </c>
      <c r="AB127" s="3">
        <v>7</v>
      </c>
      <c r="AC127" s="83"/>
    </row>
    <row r="128" spans="1:29" x14ac:dyDescent="0.25">
      <c r="A128" s="3" t="s">
        <v>57</v>
      </c>
      <c r="B128" s="6">
        <v>45975</v>
      </c>
      <c r="C128" s="86">
        <v>0.625</v>
      </c>
      <c r="D128" s="91">
        <v>66</v>
      </c>
      <c r="E128" s="7">
        <v>72</v>
      </c>
      <c r="F128" s="4">
        <v>18</v>
      </c>
      <c r="G128" s="4">
        <v>24</v>
      </c>
      <c r="H128" s="5">
        <v>96</v>
      </c>
      <c r="I128" s="5">
        <v>46</v>
      </c>
      <c r="J128" s="5">
        <v>50</v>
      </c>
      <c r="K128" s="3">
        <v>6</v>
      </c>
      <c r="L128" s="3">
        <v>6</v>
      </c>
      <c r="M128" s="3">
        <v>4</v>
      </c>
      <c r="N128" s="3">
        <v>4</v>
      </c>
      <c r="O128" s="3">
        <v>4</v>
      </c>
      <c r="P128" s="3">
        <v>4</v>
      </c>
      <c r="Q128" s="3">
        <v>6</v>
      </c>
      <c r="R128" s="3">
        <v>6</v>
      </c>
      <c r="S128" s="3">
        <v>6</v>
      </c>
      <c r="T128" s="3">
        <v>5</v>
      </c>
      <c r="U128" s="3">
        <v>6</v>
      </c>
      <c r="V128" s="3">
        <v>4</v>
      </c>
      <c r="W128" s="3">
        <v>6</v>
      </c>
      <c r="X128" s="3">
        <v>6</v>
      </c>
      <c r="Y128" s="3">
        <v>6</v>
      </c>
      <c r="Z128" s="3">
        <v>6</v>
      </c>
      <c r="AA128" s="3">
        <v>5</v>
      </c>
      <c r="AB128" s="3">
        <v>6</v>
      </c>
      <c r="AC128" s="83"/>
    </row>
    <row r="129" spans="1:29" x14ac:dyDescent="0.25">
      <c r="A129" s="3" t="s">
        <v>31</v>
      </c>
      <c r="B129" s="6">
        <v>46003</v>
      </c>
      <c r="C129" s="86">
        <v>0.625</v>
      </c>
      <c r="D129" s="91">
        <v>53</v>
      </c>
      <c r="E129" s="7">
        <v>70</v>
      </c>
      <c r="F129" s="4">
        <v>18</v>
      </c>
      <c r="G129" s="4">
        <v>44</v>
      </c>
      <c r="H129" s="5">
        <v>114</v>
      </c>
      <c r="I129" s="5">
        <v>51</v>
      </c>
      <c r="J129" s="5">
        <v>63</v>
      </c>
      <c r="K129" s="3">
        <v>6</v>
      </c>
      <c r="L129" s="3">
        <v>6</v>
      </c>
      <c r="M129" s="3">
        <v>6</v>
      </c>
      <c r="N129" s="3">
        <v>4</v>
      </c>
      <c r="O129" s="3">
        <v>7</v>
      </c>
      <c r="P129" s="3">
        <v>5</v>
      </c>
      <c r="Q129" s="3">
        <v>7</v>
      </c>
      <c r="R129" s="3">
        <v>4</v>
      </c>
      <c r="S129" s="3">
        <v>6</v>
      </c>
      <c r="T129" s="3">
        <v>8</v>
      </c>
      <c r="U129" s="3">
        <v>6</v>
      </c>
      <c r="V129" s="3">
        <v>4</v>
      </c>
      <c r="W129" s="3">
        <v>5</v>
      </c>
      <c r="X129" s="3">
        <v>9</v>
      </c>
      <c r="Y129" s="3">
        <v>8</v>
      </c>
      <c r="Z129" s="3">
        <v>8</v>
      </c>
      <c r="AA129" s="3">
        <v>9</v>
      </c>
      <c r="AB129" s="3">
        <v>6</v>
      </c>
      <c r="AC129" s="83" t="s">
        <v>90</v>
      </c>
    </row>
    <row r="130" spans="1:29" x14ac:dyDescent="0.25">
      <c r="A130" s="3" t="s">
        <v>3</v>
      </c>
      <c r="B130" s="6">
        <v>46004</v>
      </c>
      <c r="C130" s="86">
        <v>0.625</v>
      </c>
      <c r="D130" s="91">
        <v>45</v>
      </c>
      <c r="E130" s="7">
        <v>72</v>
      </c>
      <c r="F130" s="4">
        <v>18</v>
      </c>
      <c r="G130" s="4">
        <v>27</v>
      </c>
      <c r="H130" s="5">
        <v>99</v>
      </c>
      <c r="I130" s="5">
        <v>48</v>
      </c>
      <c r="J130" s="5">
        <v>51</v>
      </c>
      <c r="K130" s="3">
        <v>5</v>
      </c>
      <c r="L130" s="3">
        <v>5</v>
      </c>
      <c r="M130" s="3">
        <v>6</v>
      </c>
      <c r="N130" s="3">
        <v>5</v>
      </c>
      <c r="O130" s="3">
        <v>6</v>
      </c>
      <c r="P130" s="3">
        <v>5</v>
      </c>
      <c r="Q130" s="3">
        <v>4</v>
      </c>
      <c r="R130" s="3">
        <v>4</v>
      </c>
      <c r="S130" s="3">
        <v>8</v>
      </c>
      <c r="T130" s="3">
        <v>6</v>
      </c>
      <c r="U130" s="3">
        <v>6</v>
      </c>
      <c r="V130" s="3">
        <v>4</v>
      </c>
      <c r="W130" s="3">
        <v>4</v>
      </c>
      <c r="X130" s="3">
        <v>5</v>
      </c>
      <c r="Y130" s="3">
        <v>5</v>
      </c>
      <c r="Z130" s="3">
        <v>6</v>
      </c>
      <c r="AA130" s="3">
        <v>9</v>
      </c>
      <c r="AB130" s="3">
        <v>6</v>
      </c>
      <c r="AC130" s="83" t="s">
        <v>91</v>
      </c>
    </row>
    <row r="131" spans="1:29" x14ac:dyDescent="0.25">
      <c r="A131" s="3" t="s">
        <v>30</v>
      </c>
      <c r="B131" s="6">
        <v>46010</v>
      </c>
      <c r="C131" s="86">
        <v>0.625</v>
      </c>
      <c r="D131" s="91">
        <v>46</v>
      </c>
      <c r="E131" s="7">
        <v>72</v>
      </c>
      <c r="F131" s="4">
        <v>18</v>
      </c>
      <c r="G131" s="4">
        <v>32</v>
      </c>
      <c r="H131" s="5">
        <v>104</v>
      </c>
      <c r="I131" s="5">
        <v>52</v>
      </c>
      <c r="J131" s="5">
        <v>52</v>
      </c>
      <c r="K131" s="3">
        <v>6</v>
      </c>
      <c r="L131" s="3">
        <v>6</v>
      </c>
      <c r="M131" s="3">
        <v>5</v>
      </c>
      <c r="N131" s="3">
        <v>6</v>
      </c>
      <c r="O131" s="3">
        <v>5</v>
      </c>
      <c r="P131" s="3">
        <v>5</v>
      </c>
      <c r="Q131" s="3">
        <v>5</v>
      </c>
      <c r="R131" s="3">
        <v>9</v>
      </c>
      <c r="S131" s="3">
        <v>5</v>
      </c>
      <c r="T131" s="3">
        <v>5</v>
      </c>
      <c r="U131" s="3">
        <v>7</v>
      </c>
      <c r="V131" s="3">
        <v>9</v>
      </c>
      <c r="W131" s="3">
        <v>4</v>
      </c>
      <c r="X131" s="3">
        <v>6</v>
      </c>
      <c r="Y131" s="3">
        <v>3</v>
      </c>
      <c r="Z131" s="3">
        <v>5</v>
      </c>
      <c r="AA131" s="3">
        <v>9</v>
      </c>
      <c r="AB131" s="3">
        <v>4</v>
      </c>
      <c r="AC131" s="83" t="s">
        <v>135</v>
      </c>
    </row>
    <row r="132" spans="1:29" x14ac:dyDescent="0.25">
      <c r="A132" s="3" t="s">
        <v>28</v>
      </c>
      <c r="B132" s="6">
        <v>46011</v>
      </c>
      <c r="C132" s="86">
        <v>0.29166666666666669</v>
      </c>
      <c r="D132" s="91">
        <v>52</v>
      </c>
      <c r="E132" s="7">
        <v>72</v>
      </c>
      <c r="F132" s="4">
        <v>18</v>
      </c>
      <c r="G132" s="4">
        <v>22</v>
      </c>
      <c r="H132" s="5">
        <v>94</v>
      </c>
      <c r="I132" s="5">
        <v>47</v>
      </c>
      <c r="J132" s="5">
        <v>47</v>
      </c>
      <c r="K132" s="3">
        <v>5</v>
      </c>
      <c r="L132" s="3">
        <v>6</v>
      </c>
      <c r="M132" s="3">
        <v>5</v>
      </c>
      <c r="N132" s="3">
        <v>5</v>
      </c>
      <c r="O132" s="3">
        <v>6</v>
      </c>
      <c r="P132" s="3">
        <v>5</v>
      </c>
      <c r="Q132" s="3">
        <v>5</v>
      </c>
      <c r="R132" s="3">
        <v>6</v>
      </c>
      <c r="S132" s="3">
        <v>4</v>
      </c>
      <c r="T132" s="3">
        <v>6</v>
      </c>
      <c r="U132" s="3">
        <v>5</v>
      </c>
      <c r="V132" s="3">
        <v>5</v>
      </c>
      <c r="W132" s="3">
        <v>3</v>
      </c>
      <c r="X132" s="3">
        <v>6</v>
      </c>
      <c r="Y132" s="3">
        <v>6</v>
      </c>
      <c r="Z132" s="3">
        <v>7</v>
      </c>
      <c r="AA132" s="3">
        <v>4</v>
      </c>
      <c r="AB132" s="3">
        <v>5</v>
      </c>
      <c r="AC132" s="83" t="s">
        <v>136</v>
      </c>
    </row>
    <row r="133" spans="1:29" x14ac:dyDescent="0.25">
      <c r="A133" s="3" t="s">
        <v>3</v>
      </c>
      <c r="B133" s="6">
        <v>46017</v>
      </c>
      <c r="C133" s="86">
        <v>0.625</v>
      </c>
      <c r="D133" s="91">
        <v>39</v>
      </c>
      <c r="E133" s="7">
        <v>72</v>
      </c>
      <c r="F133" s="4">
        <v>18</v>
      </c>
      <c r="G133" s="4">
        <v>9</v>
      </c>
      <c r="H133" s="5">
        <v>81</v>
      </c>
      <c r="I133" s="5">
        <v>39</v>
      </c>
      <c r="J133" s="5">
        <v>42</v>
      </c>
      <c r="K133" s="3">
        <v>5</v>
      </c>
      <c r="L133" s="3">
        <v>4</v>
      </c>
      <c r="M133" s="3">
        <v>5</v>
      </c>
      <c r="N133" s="3">
        <v>3</v>
      </c>
      <c r="O133" s="3">
        <v>5</v>
      </c>
      <c r="P133" s="3">
        <v>6</v>
      </c>
      <c r="Q133" s="3">
        <v>3</v>
      </c>
      <c r="R133" s="3">
        <v>3</v>
      </c>
      <c r="S133" s="3">
        <v>5</v>
      </c>
      <c r="T133" s="3">
        <v>4</v>
      </c>
      <c r="U133" s="3">
        <v>5</v>
      </c>
      <c r="V133" s="3">
        <v>4</v>
      </c>
      <c r="W133" s="3">
        <v>4</v>
      </c>
      <c r="X133" s="3">
        <v>3</v>
      </c>
      <c r="Y133" s="3">
        <v>5</v>
      </c>
      <c r="Z133" s="3">
        <v>6</v>
      </c>
      <c r="AA133" s="3">
        <v>6</v>
      </c>
      <c r="AB133" s="3">
        <v>5</v>
      </c>
      <c r="AC133" s="83" t="s">
        <v>149</v>
      </c>
    </row>
    <row r="134" spans="1:29" x14ac:dyDescent="0.25">
      <c r="A134" s="3" t="s">
        <v>150</v>
      </c>
      <c r="B134" s="6">
        <v>46025</v>
      </c>
      <c r="C134" s="86">
        <v>0.58333333333333337</v>
      </c>
      <c r="D134" s="91">
        <v>51</v>
      </c>
      <c r="E134" s="7">
        <v>71</v>
      </c>
      <c r="F134" s="4">
        <v>18</v>
      </c>
      <c r="G134" s="4">
        <v>10</v>
      </c>
      <c r="H134" s="5">
        <v>81</v>
      </c>
      <c r="I134" s="5">
        <v>40</v>
      </c>
      <c r="J134" s="5">
        <v>41</v>
      </c>
      <c r="K134" s="3">
        <v>4</v>
      </c>
      <c r="L134" s="3">
        <v>5</v>
      </c>
      <c r="M134" s="3">
        <v>7</v>
      </c>
      <c r="N134" s="87">
        <v>1</v>
      </c>
      <c r="O134" s="3">
        <v>5</v>
      </c>
      <c r="P134" s="3">
        <v>4</v>
      </c>
      <c r="Q134" s="3">
        <v>4</v>
      </c>
      <c r="R134" s="3">
        <v>5</v>
      </c>
      <c r="S134" s="3">
        <v>5</v>
      </c>
      <c r="T134" s="3">
        <v>5</v>
      </c>
      <c r="U134" s="3">
        <v>4</v>
      </c>
      <c r="V134" s="3">
        <v>3</v>
      </c>
      <c r="W134" s="3">
        <v>6</v>
      </c>
      <c r="X134" s="3">
        <v>5</v>
      </c>
      <c r="Y134" s="3">
        <v>5</v>
      </c>
      <c r="Z134" s="3">
        <v>6</v>
      </c>
      <c r="AA134" s="3">
        <v>2</v>
      </c>
      <c r="AB134" s="3">
        <v>5</v>
      </c>
      <c r="AC134" s="83" t="s">
        <v>152</v>
      </c>
    </row>
    <row r="135" spans="1:29" x14ac:dyDescent="0.25">
      <c r="A135" s="3" t="s">
        <v>28</v>
      </c>
      <c r="B135" s="6">
        <v>46031</v>
      </c>
      <c r="C135" s="86">
        <v>0.58333333333333337</v>
      </c>
      <c r="D135" s="91">
        <v>41</v>
      </c>
      <c r="E135" s="7">
        <v>72</v>
      </c>
      <c r="F135" s="4">
        <v>18</v>
      </c>
      <c r="G135" s="4">
        <v>26</v>
      </c>
      <c r="H135" s="5">
        <v>98</v>
      </c>
      <c r="I135" s="5">
        <v>47</v>
      </c>
      <c r="J135" s="5">
        <v>51</v>
      </c>
      <c r="K135" s="3">
        <v>7</v>
      </c>
      <c r="L135" s="3">
        <v>6</v>
      </c>
      <c r="M135" s="3">
        <v>6</v>
      </c>
      <c r="N135" s="3">
        <v>6</v>
      </c>
      <c r="O135" s="3">
        <v>5</v>
      </c>
      <c r="P135" s="3">
        <v>4</v>
      </c>
      <c r="Q135" s="3">
        <v>3</v>
      </c>
      <c r="R135" s="3">
        <v>6</v>
      </c>
      <c r="S135" s="3">
        <v>4</v>
      </c>
      <c r="T135" s="3">
        <v>6</v>
      </c>
      <c r="U135" s="3">
        <v>4</v>
      </c>
      <c r="V135" s="3">
        <v>6</v>
      </c>
      <c r="W135" s="3">
        <v>10</v>
      </c>
      <c r="X135" s="3">
        <v>5</v>
      </c>
      <c r="Y135" s="3">
        <v>4</v>
      </c>
      <c r="Z135" s="3">
        <v>7</v>
      </c>
      <c r="AA135" s="3">
        <v>3</v>
      </c>
      <c r="AB135" s="3">
        <v>6</v>
      </c>
      <c r="AC135" s="83"/>
    </row>
    <row r="136" spans="1:29" x14ac:dyDescent="0.25">
      <c r="A136" s="3" t="s">
        <v>3</v>
      </c>
      <c r="B136" s="6">
        <v>46032</v>
      </c>
      <c r="C136" s="86">
        <v>0.58333333333333337</v>
      </c>
      <c r="D136" s="91">
        <v>40</v>
      </c>
      <c r="E136" s="7">
        <v>72</v>
      </c>
      <c r="F136" s="4">
        <v>18</v>
      </c>
      <c r="G136" s="4">
        <v>23</v>
      </c>
      <c r="H136" s="5">
        <v>95</v>
      </c>
      <c r="I136" s="5">
        <v>48</v>
      </c>
      <c r="J136" s="5">
        <v>47</v>
      </c>
      <c r="K136" s="3">
        <v>5</v>
      </c>
      <c r="L136" s="3">
        <v>5</v>
      </c>
      <c r="M136" s="3">
        <v>6</v>
      </c>
      <c r="N136" s="3">
        <v>4</v>
      </c>
      <c r="O136" s="3">
        <v>6</v>
      </c>
      <c r="P136" s="3">
        <v>7</v>
      </c>
      <c r="Q136" s="3">
        <v>4</v>
      </c>
      <c r="R136" s="3">
        <v>5</v>
      </c>
      <c r="S136" s="3">
        <v>6</v>
      </c>
      <c r="T136" s="3">
        <v>5</v>
      </c>
      <c r="U136" s="3">
        <v>6</v>
      </c>
      <c r="V136" s="3">
        <v>4</v>
      </c>
      <c r="W136" s="3">
        <v>5</v>
      </c>
      <c r="X136" s="3">
        <v>3</v>
      </c>
      <c r="Y136" s="3">
        <v>5</v>
      </c>
      <c r="Z136" s="3">
        <v>6</v>
      </c>
      <c r="AA136" s="3">
        <v>6</v>
      </c>
      <c r="AB136" s="3">
        <v>7</v>
      </c>
      <c r="AC136" s="83" t="s">
        <v>151</v>
      </c>
    </row>
    <row r="137" spans="1:29" x14ac:dyDescent="0.25">
      <c r="A137" s="3" t="s">
        <v>28</v>
      </c>
      <c r="B137" s="6">
        <v>46038</v>
      </c>
      <c r="C137" s="86">
        <v>0.58333333333333337</v>
      </c>
      <c r="D137" s="91">
        <v>45</v>
      </c>
      <c r="E137" s="7">
        <v>72</v>
      </c>
      <c r="F137" s="4">
        <v>18</v>
      </c>
      <c r="G137" s="4">
        <v>13</v>
      </c>
      <c r="H137" s="5">
        <v>85</v>
      </c>
      <c r="I137" s="5">
        <v>41</v>
      </c>
      <c r="J137" s="5">
        <v>44</v>
      </c>
      <c r="K137" s="3">
        <v>5</v>
      </c>
      <c r="L137" s="3">
        <v>4</v>
      </c>
      <c r="M137" s="3">
        <v>5</v>
      </c>
      <c r="N137" s="3">
        <v>5</v>
      </c>
      <c r="O137" s="3">
        <v>4</v>
      </c>
      <c r="P137" s="3">
        <v>6</v>
      </c>
      <c r="Q137" s="3">
        <v>3</v>
      </c>
      <c r="R137" s="3">
        <v>5</v>
      </c>
      <c r="S137" s="3">
        <v>4</v>
      </c>
      <c r="T137" s="3">
        <v>5</v>
      </c>
      <c r="U137" s="3">
        <v>6</v>
      </c>
      <c r="V137" s="3">
        <v>5</v>
      </c>
      <c r="W137" s="3">
        <v>5</v>
      </c>
      <c r="X137" s="3">
        <v>4</v>
      </c>
      <c r="Y137" s="3">
        <v>5</v>
      </c>
      <c r="Z137" s="3">
        <v>6</v>
      </c>
      <c r="AA137" s="3">
        <v>4</v>
      </c>
      <c r="AB137" s="3">
        <v>4</v>
      </c>
      <c r="AC137" s="83" t="s">
        <v>154</v>
      </c>
    </row>
    <row r="138" spans="1:29" x14ac:dyDescent="0.25">
      <c r="A138" s="3" t="s">
        <v>28</v>
      </c>
      <c r="B138" s="6">
        <v>46041</v>
      </c>
      <c r="C138" s="86">
        <v>0.58333333333333337</v>
      </c>
      <c r="D138" s="91">
        <v>52</v>
      </c>
      <c r="E138" s="7">
        <v>72</v>
      </c>
      <c r="F138" s="4">
        <v>18</v>
      </c>
      <c r="G138" s="4">
        <v>20</v>
      </c>
      <c r="H138" s="5">
        <v>92</v>
      </c>
      <c r="I138" s="5">
        <v>44</v>
      </c>
      <c r="J138" s="5">
        <v>48</v>
      </c>
      <c r="K138" s="3">
        <v>5</v>
      </c>
      <c r="L138" s="3">
        <v>5</v>
      </c>
      <c r="M138" s="3">
        <v>5</v>
      </c>
      <c r="N138" s="3">
        <v>6</v>
      </c>
      <c r="O138" s="3">
        <v>4</v>
      </c>
      <c r="P138" s="3">
        <v>6</v>
      </c>
      <c r="Q138" s="3">
        <v>2</v>
      </c>
      <c r="R138" s="3">
        <v>5</v>
      </c>
      <c r="S138" s="3">
        <v>6</v>
      </c>
      <c r="T138" s="3">
        <v>10</v>
      </c>
      <c r="U138" s="3">
        <v>5</v>
      </c>
      <c r="V138" s="3">
        <v>6</v>
      </c>
      <c r="W138" s="3">
        <v>5</v>
      </c>
      <c r="X138" s="3">
        <v>6</v>
      </c>
      <c r="Y138" s="3">
        <v>5</v>
      </c>
      <c r="Z138" s="3">
        <v>4</v>
      </c>
      <c r="AA138" s="3">
        <v>4</v>
      </c>
      <c r="AB138" s="3">
        <v>3</v>
      </c>
      <c r="AC138" s="83" t="s">
        <v>153</v>
      </c>
    </row>
    <row r="139" spans="1:29" x14ac:dyDescent="0.25">
      <c r="A139" s="3" t="s">
        <v>31</v>
      </c>
      <c r="B139" s="6">
        <v>46058</v>
      </c>
      <c r="C139" s="86">
        <v>0.58333333333333337</v>
      </c>
      <c r="D139" s="91">
        <v>43</v>
      </c>
      <c r="E139" s="7">
        <v>70</v>
      </c>
      <c r="F139" s="4">
        <v>18</v>
      </c>
      <c r="G139" s="4">
        <v>39</v>
      </c>
      <c r="H139" s="5">
        <v>109</v>
      </c>
      <c r="I139" s="5">
        <v>56</v>
      </c>
      <c r="J139" s="5">
        <v>53</v>
      </c>
      <c r="K139" s="3">
        <v>7</v>
      </c>
      <c r="L139" s="3">
        <v>7</v>
      </c>
      <c r="M139" s="3">
        <v>7</v>
      </c>
      <c r="N139" s="3">
        <v>3</v>
      </c>
      <c r="O139" s="3">
        <v>7</v>
      </c>
      <c r="P139" s="3">
        <v>5</v>
      </c>
      <c r="Q139" s="3">
        <v>10</v>
      </c>
      <c r="R139" s="3">
        <v>5</v>
      </c>
      <c r="S139" s="3">
        <v>5</v>
      </c>
      <c r="T139" s="3">
        <v>5</v>
      </c>
      <c r="U139" s="3">
        <v>6</v>
      </c>
      <c r="V139" s="3">
        <v>4</v>
      </c>
      <c r="W139" s="3">
        <v>4</v>
      </c>
      <c r="X139" s="3">
        <v>5</v>
      </c>
      <c r="Y139" s="3">
        <v>7</v>
      </c>
      <c r="Z139" s="3">
        <v>4</v>
      </c>
      <c r="AA139" s="3">
        <v>9</v>
      </c>
      <c r="AB139" s="3">
        <v>9</v>
      </c>
      <c r="AC139" s="83" t="s">
        <v>135</v>
      </c>
    </row>
    <row r="140" spans="1:29" x14ac:dyDescent="0.25">
      <c r="A140" s="3" t="s">
        <v>28</v>
      </c>
      <c r="B140" s="6">
        <v>46063</v>
      </c>
      <c r="C140" s="86">
        <v>0.29166666666666669</v>
      </c>
      <c r="D140" s="91">
        <v>57</v>
      </c>
      <c r="E140" s="7">
        <v>72</v>
      </c>
      <c r="F140" s="4">
        <v>18</v>
      </c>
      <c r="G140" s="4">
        <v>32</v>
      </c>
      <c r="H140" s="5">
        <v>104</v>
      </c>
      <c r="I140" s="5">
        <v>54</v>
      </c>
      <c r="J140" s="5">
        <v>50</v>
      </c>
      <c r="K140" s="3">
        <v>4</v>
      </c>
      <c r="L140" s="3">
        <v>7</v>
      </c>
      <c r="M140" s="3">
        <v>6</v>
      </c>
      <c r="N140" s="3">
        <v>8</v>
      </c>
      <c r="O140" s="3">
        <v>4</v>
      </c>
      <c r="P140" s="3">
        <v>7</v>
      </c>
      <c r="Q140" s="3">
        <v>5</v>
      </c>
      <c r="R140" s="3">
        <v>7</v>
      </c>
      <c r="S140" s="3">
        <v>6</v>
      </c>
      <c r="T140" s="3">
        <v>5</v>
      </c>
      <c r="U140" s="3">
        <v>4</v>
      </c>
      <c r="V140" s="3">
        <v>5</v>
      </c>
      <c r="W140" s="3">
        <v>6</v>
      </c>
      <c r="X140" s="3">
        <v>5</v>
      </c>
      <c r="Y140" s="3">
        <v>8</v>
      </c>
      <c r="Z140" s="3">
        <v>8</v>
      </c>
      <c r="AA140" s="3">
        <v>4</v>
      </c>
      <c r="AB140" s="3">
        <v>5</v>
      </c>
      <c r="AC140" s="83" t="s">
        <v>155</v>
      </c>
    </row>
    <row r="141" spans="1:29" x14ac:dyDescent="0.25">
      <c r="A141" s="3" t="s">
        <v>31</v>
      </c>
      <c r="B141" s="6">
        <v>46064</v>
      </c>
      <c r="C141" s="86">
        <v>0.58333333333333337</v>
      </c>
      <c r="D141" s="91">
        <v>49</v>
      </c>
      <c r="E141" s="7">
        <v>70</v>
      </c>
      <c r="F141" s="4">
        <v>18</v>
      </c>
      <c r="G141" s="4">
        <v>49</v>
      </c>
      <c r="H141" s="5">
        <v>119</v>
      </c>
      <c r="I141" s="5">
        <v>69</v>
      </c>
      <c r="J141" s="5">
        <v>50</v>
      </c>
      <c r="K141" s="3">
        <v>8</v>
      </c>
      <c r="L141" s="3">
        <v>8</v>
      </c>
      <c r="M141" s="3">
        <v>8</v>
      </c>
      <c r="N141" s="3">
        <v>8</v>
      </c>
      <c r="O141" s="3">
        <v>5</v>
      </c>
      <c r="P141" s="3">
        <v>8</v>
      </c>
      <c r="Q141" s="3">
        <v>8</v>
      </c>
      <c r="R141" s="3">
        <v>8</v>
      </c>
      <c r="S141" s="3">
        <v>8</v>
      </c>
      <c r="T141" s="3">
        <v>5</v>
      </c>
      <c r="U141" s="3">
        <v>4</v>
      </c>
      <c r="V141" s="3">
        <v>8</v>
      </c>
      <c r="W141" s="3">
        <v>8</v>
      </c>
      <c r="X141" s="3">
        <v>5</v>
      </c>
      <c r="Y141" s="3">
        <v>9</v>
      </c>
      <c r="Z141" s="3">
        <v>3</v>
      </c>
      <c r="AA141" s="3">
        <v>4</v>
      </c>
      <c r="AB141" s="3">
        <v>4</v>
      </c>
      <c r="AC141" s="83" t="s">
        <v>156</v>
      </c>
    </row>
    <row r="142" spans="1:29" x14ac:dyDescent="0.25">
      <c r="A142" s="3" t="s">
        <v>3</v>
      </c>
      <c r="B142" s="6">
        <v>46066</v>
      </c>
      <c r="C142" s="86">
        <v>0.58333333333333337</v>
      </c>
      <c r="D142" s="91">
        <v>48</v>
      </c>
      <c r="E142" s="7">
        <v>72</v>
      </c>
      <c r="F142" s="4">
        <v>18</v>
      </c>
      <c r="G142" s="4">
        <v>32</v>
      </c>
      <c r="H142" s="5">
        <v>104</v>
      </c>
      <c r="I142" s="5">
        <v>44</v>
      </c>
      <c r="J142" s="5">
        <v>60</v>
      </c>
      <c r="K142" s="3">
        <v>5</v>
      </c>
      <c r="L142" s="3">
        <v>5</v>
      </c>
      <c r="M142" s="3">
        <v>6</v>
      </c>
      <c r="N142" s="3">
        <v>4</v>
      </c>
      <c r="O142" s="3">
        <v>5</v>
      </c>
      <c r="P142" s="3">
        <v>5</v>
      </c>
      <c r="Q142" s="3">
        <v>4</v>
      </c>
      <c r="R142" s="3">
        <v>5</v>
      </c>
      <c r="S142" s="3">
        <v>5</v>
      </c>
      <c r="T142" s="3">
        <v>7</v>
      </c>
      <c r="U142" s="3">
        <v>6</v>
      </c>
      <c r="V142" s="3">
        <v>5</v>
      </c>
      <c r="W142" s="3">
        <v>4</v>
      </c>
      <c r="X142" s="3">
        <v>4</v>
      </c>
      <c r="Y142" s="3">
        <v>6</v>
      </c>
      <c r="Z142" s="3">
        <v>10</v>
      </c>
      <c r="AA142" s="3">
        <v>8</v>
      </c>
      <c r="AB142" s="3">
        <v>10</v>
      </c>
      <c r="AC142" s="83"/>
    </row>
    <row r="143" spans="1:29" x14ac:dyDescent="0.25">
      <c r="A143" s="3" t="s">
        <v>28</v>
      </c>
      <c r="B143" s="6">
        <v>46071</v>
      </c>
      <c r="C143" s="86">
        <v>0.29166666666666669</v>
      </c>
      <c r="D143" s="91">
        <v>43</v>
      </c>
      <c r="E143" s="7">
        <v>72</v>
      </c>
      <c r="F143" s="4">
        <v>18</v>
      </c>
      <c r="G143" s="4">
        <v>11</v>
      </c>
      <c r="H143" s="5">
        <v>83</v>
      </c>
      <c r="I143" s="5">
        <v>43</v>
      </c>
      <c r="J143" s="5">
        <v>40</v>
      </c>
      <c r="K143" s="3">
        <v>4</v>
      </c>
      <c r="L143" s="3">
        <v>6</v>
      </c>
      <c r="M143" s="3">
        <v>4</v>
      </c>
      <c r="N143" s="3">
        <v>6</v>
      </c>
      <c r="O143" s="3">
        <v>4</v>
      </c>
      <c r="P143" s="3">
        <v>6</v>
      </c>
      <c r="Q143" s="3">
        <v>4</v>
      </c>
      <c r="R143" s="3">
        <v>5</v>
      </c>
      <c r="S143" s="3">
        <v>4</v>
      </c>
      <c r="T143" s="3">
        <v>5</v>
      </c>
      <c r="U143" s="3">
        <v>3</v>
      </c>
      <c r="V143" s="3">
        <v>5</v>
      </c>
      <c r="W143" s="3">
        <v>5</v>
      </c>
      <c r="X143" s="3">
        <v>4</v>
      </c>
      <c r="Y143" s="3">
        <v>5</v>
      </c>
      <c r="Z143" s="3">
        <v>5</v>
      </c>
      <c r="AA143" s="3">
        <v>3</v>
      </c>
      <c r="AB143" s="3">
        <v>5</v>
      </c>
      <c r="AC143" s="83" t="s">
        <v>155</v>
      </c>
    </row>
    <row r="144" spans="1:29" x14ac:dyDescent="0.25">
      <c r="A144" s="3" t="s">
        <v>3</v>
      </c>
      <c r="B144" s="6">
        <v>46081</v>
      </c>
      <c r="C144" s="86">
        <v>0.58333333333333337</v>
      </c>
      <c r="D144" s="91">
        <v>53</v>
      </c>
      <c r="E144" s="7">
        <v>72</v>
      </c>
      <c r="F144" s="4">
        <v>18</v>
      </c>
      <c r="G144" s="4">
        <v>14</v>
      </c>
      <c r="H144" s="5">
        <v>86</v>
      </c>
      <c r="I144" s="5">
        <v>41</v>
      </c>
      <c r="J144" s="5">
        <v>45</v>
      </c>
      <c r="K144" s="3">
        <v>5</v>
      </c>
      <c r="L144" s="3">
        <v>4</v>
      </c>
      <c r="M144" s="3">
        <v>5</v>
      </c>
      <c r="N144" s="3">
        <v>4</v>
      </c>
      <c r="O144" s="3">
        <v>5</v>
      </c>
      <c r="P144" s="3">
        <v>6</v>
      </c>
      <c r="Q144" s="3">
        <v>4</v>
      </c>
      <c r="R144" s="3">
        <v>4</v>
      </c>
      <c r="S144" s="3">
        <v>4</v>
      </c>
      <c r="T144" s="3">
        <v>5</v>
      </c>
      <c r="U144" s="3">
        <v>6</v>
      </c>
      <c r="V144" s="3">
        <v>3</v>
      </c>
      <c r="W144" s="3">
        <v>5</v>
      </c>
      <c r="X144" s="3">
        <v>4</v>
      </c>
      <c r="Y144" s="3">
        <v>4</v>
      </c>
      <c r="Z144" s="3">
        <v>6</v>
      </c>
      <c r="AA144" s="3">
        <v>6</v>
      </c>
      <c r="AB144" s="3">
        <v>6</v>
      </c>
      <c r="AC144" s="83"/>
    </row>
    <row r="145" spans="1:29" x14ac:dyDescent="0.25">
      <c r="A145" s="3" t="s">
        <v>28</v>
      </c>
      <c r="B145" s="6">
        <v>46094</v>
      </c>
      <c r="C145" s="86">
        <v>0.58333333333333337</v>
      </c>
      <c r="D145" s="91">
        <v>65</v>
      </c>
      <c r="E145" s="7">
        <v>72</v>
      </c>
      <c r="F145" s="4">
        <v>18</v>
      </c>
      <c r="G145" s="4">
        <v>26</v>
      </c>
      <c r="H145" s="5">
        <v>98</v>
      </c>
      <c r="I145" s="5">
        <v>51</v>
      </c>
      <c r="J145" s="5">
        <v>47</v>
      </c>
      <c r="K145" s="3">
        <v>5</v>
      </c>
      <c r="L145" s="3">
        <v>5</v>
      </c>
      <c r="M145" s="3">
        <v>5</v>
      </c>
      <c r="N145" s="3">
        <v>8</v>
      </c>
      <c r="O145" s="3">
        <v>5</v>
      </c>
      <c r="P145" s="3">
        <v>5</v>
      </c>
      <c r="Q145" s="3">
        <v>4</v>
      </c>
      <c r="R145" s="3">
        <v>8</v>
      </c>
      <c r="S145" s="3">
        <v>6</v>
      </c>
      <c r="T145" s="3">
        <v>6</v>
      </c>
      <c r="U145" s="3">
        <v>6</v>
      </c>
      <c r="V145" s="3">
        <v>4</v>
      </c>
      <c r="W145" s="3">
        <v>3</v>
      </c>
      <c r="X145" s="3">
        <v>5</v>
      </c>
      <c r="Y145" s="3">
        <v>5</v>
      </c>
      <c r="Z145" s="3">
        <v>6</v>
      </c>
      <c r="AA145" s="3">
        <v>6</v>
      </c>
      <c r="AB145" s="3">
        <v>6</v>
      </c>
      <c r="AC145" s="83"/>
    </row>
    <row r="146" spans="1:29" x14ac:dyDescent="0.25">
      <c r="A146" s="3" t="s">
        <v>31</v>
      </c>
      <c r="B146" s="6">
        <v>46064</v>
      </c>
      <c r="C146" s="86">
        <v>0.58333333333333337</v>
      </c>
      <c r="D146" s="91">
        <v>49</v>
      </c>
      <c r="E146" s="7">
        <v>70</v>
      </c>
      <c r="F146" s="4">
        <v>18</v>
      </c>
      <c r="G146" s="4">
        <v>27</v>
      </c>
      <c r="H146" s="5">
        <v>97</v>
      </c>
      <c r="I146" s="5">
        <v>45</v>
      </c>
      <c r="J146" s="5">
        <v>52</v>
      </c>
      <c r="K146" s="3">
        <v>4</v>
      </c>
      <c r="L146" s="3">
        <v>4</v>
      </c>
      <c r="M146" s="3">
        <v>6</v>
      </c>
      <c r="N146" s="3">
        <v>6</v>
      </c>
      <c r="O146" s="3">
        <v>6</v>
      </c>
      <c r="P146" s="3">
        <v>4</v>
      </c>
      <c r="Q146" s="3">
        <v>7</v>
      </c>
      <c r="R146" s="3">
        <v>4</v>
      </c>
      <c r="S146" s="3">
        <v>4</v>
      </c>
      <c r="T146" s="3">
        <v>5</v>
      </c>
      <c r="U146" s="3">
        <v>6</v>
      </c>
      <c r="V146" s="3">
        <v>5</v>
      </c>
      <c r="W146" s="3">
        <v>6</v>
      </c>
      <c r="X146" s="3">
        <v>6</v>
      </c>
      <c r="Y146" s="3">
        <v>8</v>
      </c>
      <c r="Z146" s="3">
        <v>5</v>
      </c>
      <c r="AA146" s="3">
        <v>6</v>
      </c>
      <c r="AB146" s="3">
        <v>5</v>
      </c>
      <c r="AC146" s="83" t="s">
        <v>157</v>
      </c>
    </row>
    <row r="147" spans="1:29" x14ac:dyDescent="0.25">
      <c r="A147" s="3" t="s">
        <v>30</v>
      </c>
      <c r="B147" s="6">
        <v>46105</v>
      </c>
      <c r="C147" s="86">
        <v>0.58333333333333337</v>
      </c>
      <c r="D147" s="91">
        <v>58</v>
      </c>
      <c r="E147" s="7">
        <v>72</v>
      </c>
      <c r="F147" s="4">
        <v>18</v>
      </c>
      <c r="G147" s="4">
        <v>22</v>
      </c>
      <c r="H147" s="5">
        <v>94</v>
      </c>
      <c r="I147" s="5">
        <v>48</v>
      </c>
      <c r="J147" s="5">
        <v>46</v>
      </c>
      <c r="K147" s="3">
        <v>5</v>
      </c>
      <c r="L147" s="3">
        <v>7</v>
      </c>
      <c r="M147" s="3">
        <v>5</v>
      </c>
      <c r="N147" s="3">
        <v>6</v>
      </c>
      <c r="O147" s="3">
        <v>5</v>
      </c>
      <c r="P147" s="3">
        <v>5</v>
      </c>
      <c r="Q147" s="3">
        <v>7</v>
      </c>
      <c r="R147" s="3">
        <v>4</v>
      </c>
      <c r="S147" s="3">
        <v>4</v>
      </c>
      <c r="T147" s="3">
        <v>7</v>
      </c>
      <c r="U147" s="3">
        <v>5</v>
      </c>
      <c r="V147" s="3">
        <v>4</v>
      </c>
      <c r="W147" s="3">
        <v>4</v>
      </c>
      <c r="X147" s="3">
        <v>5</v>
      </c>
      <c r="Y147" s="3">
        <v>4</v>
      </c>
      <c r="Z147" s="3">
        <v>6</v>
      </c>
      <c r="AA147" s="3">
        <v>7</v>
      </c>
      <c r="AB147" s="3">
        <v>4</v>
      </c>
      <c r="AC147" s="83"/>
    </row>
    <row r="148" spans="1:29" x14ac:dyDescent="0.25">
      <c r="A148" s="3" t="s">
        <v>28</v>
      </c>
      <c r="B148" s="6">
        <v>46106</v>
      </c>
      <c r="C148" s="86">
        <v>0.58333333333333337</v>
      </c>
      <c r="D148" s="91">
        <v>66</v>
      </c>
      <c r="E148" s="7">
        <v>72</v>
      </c>
      <c r="F148" s="4">
        <v>18</v>
      </c>
      <c r="G148" s="4">
        <v>15</v>
      </c>
      <c r="H148" s="5">
        <v>87</v>
      </c>
      <c r="I148" s="5">
        <v>46</v>
      </c>
      <c r="J148" s="5">
        <v>41</v>
      </c>
      <c r="K148" s="3">
        <v>7</v>
      </c>
      <c r="L148" s="3">
        <v>6</v>
      </c>
      <c r="M148" s="3">
        <v>3</v>
      </c>
      <c r="N148" s="3">
        <v>5</v>
      </c>
      <c r="O148" s="3">
        <v>5</v>
      </c>
      <c r="P148" s="3">
        <v>5</v>
      </c>
      <c r="Q148" s="3">
        <v>4</v>
      </c>
      <c r="R148" s="3">
        <v>7</v>
      </c>
      <c r="S148" s="3">
        <v>4</v>
      </c>
      <c r="T148" s="3">
        <v>4</v>
      </c>
      <c r="U148" s="3">
        <v>5</v>
      </c>
      <c r="V148" s="3">
        <v>6</v>
      </c>
      <c r="W148" s="3">
        <v>3</v>
      </c>
      <c r="X148" s="3">
        <v>4</v>
      </c>
      <c r="Y148" s="3">
        <v>5</v>
      </c>
      <c r="Z148" s="3">
        <v>6</v>
      </c>
      <c r="AA148" s="3">
        <v>3</v>
      </c>
      <c r="AB148" s="3">
        <v>5</v>
      </c>
      <c r="AC148" s="83"/>
    </row>
    <row r="149" spans="1:29" x14ac:dyDescent="0.25">
      <c r="A149" s="3" t="s">
        <v>28</v>
      </c>
      <c r="B149" s="6">
        <v>46112</v>
      </c>
      <c r="C149" s="86">
        <v>0.58333333333333337</v>
      </c>
      <c r="D149" s="91">
        <v>52</v>
      </c>
      <c r="E149" s="7">
        <v>72</v>
      </c>
      <c r="F149" s="4">
        <v>18</v>
      </c>
      <c r="G149" s="4">
        <v>22</v>
      </c>
      <c r="H149" s="5">
        <v>94</v>
      </c>
      <c r="I149" s="5">
        <v>45</v>
      </c>
      <c r="J149" s="5">
        <v>49</v>
      </c>
      <c r="K149" s="3">
        <v>5</v>
      </c>
      <c r="L149" s="3">
        <v>4</v>
      </c>
      <c r="M149" s="3">
        <v>5</v>
      </c>
      <c r="N149" s="3">
        <v>6</v>
      </c>
      <c r="O149" s="3">
        <v>4</v>
      </c>
      <c r="P149" s="3">
        <v>5</v>
      </c>
      <c r="Q149" s="3">
        <v>4</v>
      </c>
      <c r="R149" s="3">
        <v>5</v>
      </c>
      <c r="S149" s="3">
        <v>7</v>
      </c>
      <c r="T149" s="3">
        <v>6</v>
      </c>
      <c r="U149" s="3">
        <v>5</v>
      </c>
      <c r="V149" s="3">
        <v>5</v>
      </c>
      <c r="W149" s="3">
        <v>6</v>
      </c>
      <c r="X149" s="3">
        <v>6</v>
      </c>
      <c r="Y149" s="3">
        <v>4</v>
      </c>
      <c r="Z149" s="3">
        <v>7</v>
      </c>
      <c r="AA149" s="3">
        <v>4</v>
      </c>
      <c r="AB149" s="3">
        <v>6</v>
      </c>
      <c r="AC149" s="83"/>
    </row>
    <row r="150" spans="1:29" x14ac:dyDescent="0.25">
      <c r="A150" s="3" t="s">
        <v>158</v>
      </c>
      <c r="B150" s="6">
        <v>46120</v>
      </c>
      <c r="C150" s="86">
        <v>0.58333333333333337</v>
      </c>
      <c r="D150" s="91">
        <v>64</v>
      </c>
      <c r="E150" s="7">
        <v>72</v>
      </c>
      <c r="F150" s="4">
        <v>18</v>
      </c>
      <c r="G150" s="4">
        <v>29</v>
      </c>
      <c r="H150" s="5">
        <v>101</v>
      </c>
      <c r="I150" s="5">
        <v>53</v>
      </c>
      <c r="J150" s="5">
        <v>48</v>
      </c>
      <c r="K150" s="3">
        <v>6</v>
      </c>
      <c r="L150" s="3">
        <v>5</v>
      </c>
      <c r="M150" s="3">
        <v>5</v>
      </c>
      <c r="N150" s="3">
        <v>4</v>
      </c>
      <c r="O150" s="3">
        <v>10</v>
      </c>
      <c r="P150" s="3">
        <v>8</v>
      </c>
      <c r="Q150" s="3">
        <v>4</v>
      </c>
      <c r="R150" s="3">
        <v>5</v>
      </c>
      <c r="S150" s="3">
        <v>6</v>
      </c>
      <c r="T150" s="3">
        <v>4</v>
      </c>
      <c r="U150" s="3">
        <v>5</v>
      </c>
      <c r="V150" s="3">
        <v>3</v>
      </c>
      <c r="W150" s="3">
        <v>8</v>
      </c>
      <c r="X150" s="3">
        <v>4</v>
      </c>
      <c r="Y150" s="3">
        <v>5</v>
      </c>
      <c r="Z150" s="3">
        <v>6</v>
      </c>
      <c r="AA150" s="3">
        <v>7</v>
      </c>
      <c r="AB150" s="3">
        <v>6</v>
      </c>
      <c r="AC150" s="83" t="s">
        <v>159</v>
      </c>
    </row>
    <row r="151" spans="1:29" x14ac:dyDescent="0.25">
      <c r="A151" s="3" t="s">
        <v>158</v>
      </c>
      <c r="B151" s="6">
        <v>46121</v>
      </c>
      <c r="C151" s="86">
        <v>0.58333333333333337</v>
      </c>
      <c r="D151" s="91">
        <v>70</v>
      </c>
      <c r="E151" s="7">
        <v>72</v>
      </c>
      <c r="F151" s="4">
        <v>18</v>
      </c>
      <c r="G151" s="4">
        <v>22</v>
      </c>
      <c r="H151" s="5">
        <v>94</v>
      </c>
      <c r="I151" s="5">
        <v>46</v>
      </c>
      <c r="J151" s="5">
        <v>48</v>
      </c>
      <c r="K151" s="3">
        <v>5</v>
      </c>
      <c r="L151" s="3">
        <v>7</v>
      </c>
      <c r="M151" s="3">
        <v>7</v>
      </c>
      <c r="N151" s="3">
        <v>5</v>
      </c>
      <c r="O151" s="3">
        <v>4</v>
      </c>
      <c r="P151" s="3">
        <v>6</v>
      </c>
      <c r="Q151" s="3">
        <v>3</v>
      </c>
      <c r="R151" s="3">
        <v>4</v>
      </c>
      <c r="S151" s="3">
        <v>5</v>
      </c>
      <c r="T151" s="3">
        <v>5</v>
      </c>
      <c r="U151" s="3">
        <v>2</v>
      </c>
      <c r="V151" s="3">
        <v>5</v>
      </c>
      <c r="W151" s="3">
        <v>5</v>
      </c>
      <c r="X151" s="3">
        <v>6</v>
      </c>
      <c r="Y151" s="3">
        <v>5</v>
      </c>
      <c r="Z151" s="3">
        <v>7</v>
      </c>
      <c r="AA151" s="3">
        <v>7</v>
      </c>
      <c r="AB151" s="3">
        <v>6</v>
      </c>
      <c r="AC151" s="83" t="s">
        <v>180</v>
      </c>
    </row>
    <row r="152" spans="1:29" x14ac:dyDescent="0.25">
      <c r="A152" s="3" t="s">
        <v>181</v>
      </c>
      <c r="B152" s="6">
        <v>46135</v>
      </c>
      <c r="C152" s="86">
        <v>0.58333333333333337</v>
      </c>
      <c r="D152" s="91">
        <v>61</v>
      </c>
      <c r="E152" s="7">
        <v>72</v>
      </c>
      <c r="F152" s="4">
        <v>18</v>
      </c>
      <c r="G152" s="4">
        <v>18</v>
      </c>
      <c r="H152" s="5">
        <v>90</v>
      </c>
      <c r="I152" s="5">
        <v>47</v>
      </c>
      <c r="J152" s="5">
        <v>43</v>
      </c>
      <c r="K152" s="3">
        <v>6</v>
      </c>
      <c r="L152" s="3">
        <v>3</v>
      </c>
      <c r="M152" s="3">
        <v>8</v>
      </c>
      <c r="N152" s="3">
        <v>5</v>
      </c>
      <c r="O152" s="3">
        <v>4</v>
      </c>
      <c r="P152" s="3">
        <v>3</v>
      </c>
      <c r="Q152" s="3">
        <v>6</v>
      </c>
      <c r="R152" s="3">
        <v>6</v>
      </c>
      <c r="S152" s="3">
        <v>6</v>
      </c>
      <c r="T152" s="3">
        <v>4</v>
      </c>
      <c r="U152" s="3">
        <v>3</v>
      </c>
      <c r="V152" s="3">
        <v>6</v>
      </c>
      <c r="W152" s="3">
        <v>6</v>
      </c>
      <c r="X152" s="3">
        <v>3</v>
      </c>
      <c r="Y152" s="3">
        <v>6</v>
      </c>
      <c r="Z152" s="3">
        <v>4</v>
      </c>
      <c r="AA152" s="3">
        <v>4</v>
      </c>
      <c r="AB152" s="3">
        <v>7</v>
      </c>
      <c r="AC152" s="83"/>
    </row>
    <row r="153" spans="1:29" x14ac:dyDescent="0.25">
      <c r="A153" s="3" t="s">
        <v>28</v>
      </c>
      <c r="B153" s="6">
        <v>46156</v>
      </c>
      <c r="C153" s="86">
        <v>0.625</v>
      </c>
      <c r="D153" s="91">
        <v>79</v>
      </c>
      <c r="E153" s="7">
        <v>72</v>
      </c>
      <c r="F153" s="4">
        <v>18</v>
      </c>
      <c r="G153" s="4">
        <v>23</v>
      </c>
      <c r="H153" s="5">
        <v>95</v>
      </c>
      <c r="I153" s="5">
        <v>45</v>
      </c>
      <c r="J153" s="5">
        <v>50</v>
      </c>
      <c r="K153" s="3">
        <v>5</v>
      </c>
      <c r="L153" s="3">
        <v>5</v>
      </c>
      <c r="M153" s="3">
        <v>5</v>
      </c>
      <c r="N153" s="3">
        <v>6</v>
      </c>
      <c r="O153" s="3">
        <v>5</v>
      </c>
      <c r="P153" s="3">
        <v>6</v>
      </c>
      <c r="Q153" s="3">
        <v>4</v>
      </c>
      <c r="R153" s="3">
        <v>4</v>
      </c>
      <c r="S153" s="3">
        <v>5</v>
      </c>
      <c r="T153" s="3">
        <v>6</v>
      </c>
      <c r="U153" s="3">
        <v>8</v>
      </c>
      <c r="V153" s="3">
        <v>5</v>
      </c>
      <c r="W153" s="3">
        <v>4</v>
      </c>
      <c r="X153" s="3">
        <v>7</v>
      </c>
      <c r="Y153" s="3">
        <v>6</v>
      </c>
      <c r="Z153" s="3">
        <v>5</v>
      </c>
      <c r="AA153" s="3">
        <v>3</v>
      </c>
      <c r="AB153" s="3">
        <v>6</v>
      </c>
      <c r="AC153" s="83"/>
    </row>
    <row r="154" spans="1:29" x14ac:dyDescent="0.25">
      <c r="A154" s="3" t="s">
        <v>28</v>
      </c>
      <c r="B154" s="6">
        <v>46157</v>
      </c>
      <c r="C154" s="86">
        <v>0.625</v>
      </c>
      <c r="D154" s="91">
        <v>72</v>
      </c>
      <c r="E154" s="7">
        <v>72</v>
      </c>
      <c r="F154" s="4">
        <v>18</v>
      </c>
      <c r="G154" s="4">
        <v>25</v>
      </c>
      <c r="H154" s="5">
        <v>97</v>
      </c>
      <c r="I154" s="5">
        <v>45</v>
      </c>
      <c r="J154" s="5">
        <v>52</v>
      </c>
      <c r="K154" s="7">
        <v>6</v>
      </c>
      <c r="L154" s="7">
        <v>5</v>
      </c>
      <c r="M154" s="7">
        <v>4</v>
      </c>
      <c r="N154" s="7">
        <v>4</v>
      </c>
      <c r="O154" s="7">
        <v>5</v>
      </c>
      <c r="P154" s="7">
        <v>4</v>
      </c>
      <c r="Q154" s="7">
        <v>4</v>
      </c>
      <c r="R154" s="7">
        <v>5</v>
      </c>
      <c r="S154" s="7">
        <v>8</v>
      </c>
      <c r="T154" s="7">
        <v>7</v>
      </c>
      <c r="U154" s="7">
        <v>5</v>
      </c>
      <c r="V154" s="7">
        <v>4</v>
      </c>
      <c r="W154" s="7">
        <v>8</v>
      </c>
      <c r="X154" s="7">
        <v>5</v>
      </c>
      <c r="Y154" s="7">
        <v>3</v>
      </c>
      <c r="Z154" s="7">
        <v>8</v>
      </c>
      <c r="AA154" s="7">
        <v>4</v>
      </c>
      <c r="AB154" s="7">
        <v>8</v>
      </c>
      <c r="AC154" s="83"/>
    </row>
    <row r="155" spans="1:29" x14ac:dyDescent="0.25">
      <c r="A155" s="3" t="s">
        <v>158</v>
      </c>
      <c r="B155" s="6">
        <v>46164</v>
      </c>
      <c r="C155" s="86">
        <v>0.625</v>
      </c>
      <c r="D155" s="91">
        <v>82</v>
      </c>
      <c r="E155" s="7">
        <v>72</v>
      </c>
      <c r="F155" s="4">
        <v>18</v>
      </c>
      <c r="G155" s="4">
        <v>17</v>
      </c>
      <c r="H155" s="5">
        <v>89</v>
      </c>
      <c r="I155" s="5">
        <v>46</v>
      </c>
      <c r="J155" s="5">
        <v>43</v>
      </c>
      <c r="K155" s="3">
        <v>6</v>
      </c>
      <c r="L155" s="3">
        <v>5</v>
      </c>
      <c r="M155" s="3">
        <v>5</v>
      </c>
      <c r="N155" s="3">
        <v>7</v>
      </c>
      <c r="O155" s="3">
        <v>3</v>
      </c>
      <c r="P155" s="3">
        <v>6</v>
      </c>
      <c r="Q155" s="3">
        <v>5</v>
      </c>
      <c r="R155" s="3">
        <v>4</v>
      </c>
      <c r="S155" s="3">
        <v>5</v>
      </c>
      <c r="T155" s="3">
        <v>5</v>
      </c>
      <c r="U155" s="3">
        <v>3</v>
      </c>
      <c r="V155" s="3">
        <v>4</v>
      </c>
      <c r="W155" s="3">
        <v>7</v>
      </c>
      <c r="X155" s="3">
        <v>4</v>
      </c>
      <c r="Y155" s="3">
        <v>6</v>
      </c>
      <c r="Z155" s="3">
        <v>4</v>
      </c>
      <c r="AA155" s="3">
        <v>5</v>
      </c>
      <c r="AB155" s="3">
        <v>5</v>
      </c>
      <c r="AC155" s="83"/>
    </row>
    <row r="156" spans="1:29" x14ac:dyDescent="0.25">
      <c r="A156" s="3" t="s">
        <v>186</v>
      </c>
      <c r="B156" s="6">
        <v>46171</v>
      </c>
      <c r="C156" s="86">
        <v>0.625</v>
      </c>
      <c r="D156" s="91">
        <v>77</v>
      </c>
      <c r="E156" s="7">
        <v>72</v>
      </c>
      <c r="F156" s="4">
        <v>18</v>
      </c>
      <c r="G156" s="4">
        <v>20</v>
      </c>
      <c r="H156" s="5">
        <v>92</v>
      </c>
      <c r="I156" s="5">
        <v>46</v>
      </c>
      <c r="J156" s="5">
        <v>46</v>
      </c>
      <c r="K156" s="3">
        <v>6</v>
      </c>
      <c r="L156" s="3">
        <v>5</v>
      </c>
      <c r="M156" s="3">
        <v>5</v>
      </c>
      <c r="N156" s="3">
        <v>4</v>
      </c>
      <c r="O156" s="3">
        <v>3</v>
      </c>
      <c r="P156" s="3">
        <v>6</v>
      </c>
      <c r="Q156" s="3">
        <v>5</v>
      </c>
      <c r="R156" s="3">
        <v>6</v>
      </c>
      <c r="S156" s="3">
        <v>6</v>
      </c>
      <c r="T156" s="3">
        <v>6</v>
      </c>
      <c r="U156" s="3">
        <v>3</v>
      </c>
      <c r="V156" s="3">
        <v>6</v>
      </c>
      <c r="W156" s="3">
        <v>4</v>
      </c>
      <c r="X156" s="3">
        <v>3</v>
      </c>
      <c r="Y156" s="3">
        <v>5</v>
      </c>
      <c r="Z156" s="3">
        <v>5</v>
      </c>
      <c r="AA156" s="3">
        <v>4</v>
      </c>
      <c r="AB156" s="3">
        <v>10</v>
      </c>
      <c r="AC156" s="83"/>
    </row>
    <row r="157" spans="1:29" x14ac:dyDescent="0.25">
      <c r="A157" s="3" t="s">
        <v>28</v>
      </c>
      <c r="B157" s="6">
        <v>46176</v>
      </c>
      <c r="C157" s="86">
        <v>0.625</v>
      </c>
      <c r="D157" s="91">
        <v>85</v>
      </c>
      <c r="E157" s="7">
        <v>72</v>
      </c>
      <c r="F157" s="4">
        <v>18</v>
      </c>
      <c r="G157" s="4">
        <v>21</v>
      </c>
      <c r="H157" s="5">
        <v>93</v>
      </c>
      <c r="I157" s="5">
        <v>46</v>
      </c>
      <c r="J157" s="5">
        <v>47</v>
      </c>
      <c r="K157" s="3">
        <v>7</v>
      </c>
      <c r="L157" s="3">
        <v>5</v>
      </c>
      <c r="M157" s="3">
        <v>4</v>
      </c>
      <c r="N157" s="3">
        <v>6</v>
      </c>
      <c r="O157" s="3">
        <v>3</v>
      </c>
      <c r="P157" s="3">
        <v>6</v>
      </c>
      <c r="Q157" s="3">
        <v>3</v>
      </c>
      <c r="R157" s="3">
        <v>6</v>
      </c>
      <c r="S157" s="3">
        <v>6</v>
      </c>
      <c r="T157" s="3">
        <v>7</v>
      </c>
      <c r="U157" s="3">
        <v>5</v>
      </c>
      <c r="V157" s="3">
        <v>5</v>
      </c>
      <c r="W157" s="3">
        <v>4</v>
      </c>
      <c r="X157" s="3">
        <v>6</v>
      </c>
      <c r="Y157" s="3">
        <v>4</v>
      </c>
      <c r="Z157" s="3">
        <v>8</v>
      </c>
      <c r="AA157" s="3">
        <v>3</v>
      </c>
      <c r="AB157" s="3">
        <v>5</v>
      </c>
      <c r="AC157" s="83"/>
    </row>
    <row r="158" spans="1:29" x14ac:dyDescent="0.25">
      <c r="A158" s="3" t="s">
        <v>191</v>
      </c>
      <c r="B158" s="6">
        <v>46179</v>
      </c>
      <c r="C158" s="86">
        <v>0.625</v>
      </c>
      <c r="D158" s="91">
        <v>79</v>
      </c>
      <c r="E158" s="7">
        <v>72</v>
      </c>
      <c r="F158" s="4">
        <v>18</v>
      </c>
      <c r="G158" s="4">
        <v>10</v>
      </c>
      <c r="H158" s="5">
        <v>82</v>
      </c>
      <c r="I158" s="5">
        <v>40</v>
      </c>
      <c r="J158" s="5">
        <v>42</v>
      </c>
      <c r="K158" s="3">
        <v>5</v>
      </c>
      <c r="L158" s="3">
        <v>4</v>
      </c>
      <c r="M158" s="3">
        <v>3</v>
      </c>
      <c r="N158" s="3">
        <v>5</v>
      </c>
      <c r="O158" s="3">
        <v>6</v>
      </c>
      <c r="P158" s="3">
        <v>4</v>
      </c>
      <c r="Q158" s="3">
        <v>4</v>
      </c>
      <c r="R158" s="3">
        <v>4</v>
      </c>
      <c r="S158" s="3">
        <v>5</v>
      </c>
      <c r="T158" s="3">
        <v>4</v>
      </c>
      <c r="U158" s="3">
        <v>5</v>
      </c>
      <c r="V158" s="3">
        <v>4</v>
      </c>
      <c r="W158" s="3">
        <v>5</v>
      </c>
      <c r="X158" s="3">
        <v>5</v>
      </c>
      <c r="Y158" s="3">
        <v>4</v>
      </c>
      <c r="Z158" s="3">
        <v>6</v>
      </c>
      <c r="AA158" s="3">
        <v>5</v>
      </c>
      <c r="AB158" s="3">
        <v>4</v>
      </c>
      <c r="AC158" s="83"/>
    </row>
    <row r="159" spans="1:29" x14ac:dyDescent="0.25">
      <c r="A159" s="3" t="s">
        <v>31</v>
      </c>
      <c r="B159" s="6">
        <v>46183</v>
      </c>
      <c r="C159" s="86">
        <v>0.625</v>
      </c>
      <c r="D159" s="91">
        <v>86</v>
      </c>
      <c r="E159" s="7">
        <v>70</v>
      </c>
      <c r="F159" s="4">
        <v>18</v>
      </c>
      <c r="G159" s="4">
        <v>36</v>
      </c>
      <c r="H159" s="5">
        <v>106</v>
      </c>
      <c r="I159" s="5">
        <v>50</v>
      </c>
      <c r="J159" s="5">
        <v>56</v>
      </c>
      <c r="K159" s="3">
        <v>5</v>
      </c>
      <c r="L159" s="3">
        <v>4</v>
      </c>
      <c r="M159" s="3">
        <v>8</v>
      </c>
      <c r="N159" s="3">
        <v>5</v>
      </c>
      <c r="O159" s="3">
        <v>7</v>
      </c>
      <c r="P159" s="3">
        <v>8</v>
      </c>
      <c r="Q159" s="3">
        <v>4</v>
      </c>
      <c r="R159" s="3">
        <v>4</v>
      </c>
      <c r="S159" s="3">
        <v>5</v>
      </c>
      <c r="T159" s="3">
        <v>5</v>
      </c>
      <c r="U159" s="3">
        <v>5</v>
      </c>
      <c r="V159" s="3">
        <v>6</v>
      </c>
      <c r="W159" s="3">
        <v>7</v>
      </c>
      <c r="X159" s="3">
        <v>7</v>
      </c>
      <c r="Y159" s="3">
        <v>8</v>
      </c>
      <c r="Z159" s="3">
        <v>4</v>
      </c>
      <c r="AA159" s="3">
        <v>7</v>
      </c>
      <c r="AB159" s="3">
        <v>7</v>
      </c>
      <c r="AC159" s="83" t="s">
        <v>192</v>
      </c>
    </row>
    <row r="160" spans="1:29" x14ac:dyDescent="0.25">
      <c r="A160" s="3" t="s">
        <v>158</v>
      </c>
      <c r="B160" s="6">
        <v>46185</v>
      </c>
      <c r="C160" s="86">
        <v>0.625</v>
      </c>
      <c r="D160" s="91">
        <v>80</v>
      </c>
      <c r="E160" s="7">
        <v>73</v>
      </c>
      <c r="F160" s="4">
        <v>18</v>
      </c>
      <c r="G160" s="4">
        <v>21</v>
      </c>
      <c r="H160" s="5">
        <v>94</v>
      </c>
      <c r="I160" s="5">
        <v>47</v>
      </c>
      <c r="J160" s="5">
        <v>47</v>
      </c>
      <c r="K160" s="3">
        <v>5</v>
      </c>
      <c r="L160" s="3">
        <v>5</v>
      </c>
      <c r="M160" s="3">
        <v>5</v>
      </c>
      <c r="N160" s="3">
        <v>6</v>
      </c>
      <c r="O160" s="3">
        <v>4</v>
      </c>
      <c r="P160" s="3">
        <v>7</v>
      </c>
      <c r="Q160" s="3">
        <v>3</v>
      </c>
      <c r="R160" s="3">
        <v>5</v>
      </c>
      <c r="S160" s="3">
        <v>7</v>
      </c>
      <c r="T160" s="3">
        <v>5</v>
      </c>
      <c r="U160" s="3">
        <v>4</v>
      </c>
      <c r="V160" s="3">
        <v>5</v>
      </c>
      <c r="W160" s="3">
        <v>6</v>
      </c>
      <c r="X160" s="3">
        <v>5</v>
      </c>
      <c r="Y160" s="3">
        <v>6</v>
      </c>
      <c r="Z160" s="3">
        <v>6</v>
      </c>
      <c r="AA160" s="3">
        <v>6</v>
      </c>
      <c r="AB160" s="3">
        <v>4</v>
      </c>
      <c r="AC160" s="83"/>
    </row>
    <row r="161" spans="1:29" x14ac:dyDescent="0.25">
      <c r="A161" s="3" t="s">
        <v>193</v>
      </c>
      <c r="B161" s="6">
        <v>46205</v>
      </c>
      <c r="C161" s="86">
        <v>0.625</v>
      </c>
      <c r="D161" s="91">
        <v>92</v>
      </c>
      <c r="E161" s="7">
        <v>72</v>
      </c>
      <c r="F161" s="4">
        <v>18</v>
      </c>
      <c r="G161" s="4">
        <v>31</v>
      </c>
      <c r="H161" s="5">
        <v>103</v>
      </c>
      <c r="I161" s="5">
        <v>48</v>
      </c>
      <c r="J161" s="5">
        <v>55</v>
      </c>
      <c r="K161" s="3">
        <v>7</v>
      </c>
      <c r="L161" s="3">
        <v>4</v>
      </c>
      <c r="M161" s="3">
        <v>5</v>
      </c>
      <c r="N161" s="3">
        <v>9</v>
      </c>
      <c r="O161" s="3">
        <v>5</v>
      </c>
      <c r="P161" s="3">
        <v>4</v>
      </c>
      <c r="Q161" s="3">
        <v>4</v>
      </c>
      <c r="R161" s="3">
        <v>4</v>
      </c>
      <c r="S161" s="3">
        <v>6</v>
      </c>
      <c r="T161" s="3">
        <v>6</v>
      </c>
      <c r="U161" s="3">
        <v>4</v>
      </c>
      <c r="V161" s="3">
        <v>6</v>
      </c>
      <c r="W161" s="3">
        <v>9</v>
      </c>
      <c r="X161" s="3">
        <v>4</v>
      </c>
      <c r="Y161" s="3">
        <v>4</v>
      </c>
      <c r="Z161" s="3">
        <v>6</v>
      </c>
      <c r="AA161" s="3">
        <v>7</v>
      </c>
      <c r="AB161" s="3">
        <v>9</v>
      </c>
      <c r="AC161" s="83"/>
    </row>
    <row r="162" spans="1:29" x14ac:dyDescent="0.25">
      <c r="A162" s="3" t="s">
        <v>28</v>
      </c>
      <c r="B162" s="6">
        <v>46210</v>
      </c>
      <c r="C162" s="86">
        <v>0.625</v>
      </c>
      <c r="D162" s="91">
        <v>100</v>
      </c>
      <c r="E162" s="7">
        <v>72</v>
      </c>
      <c r="F162" s="4">
        <v>18</v>
      </c>
      <c r="G162" s="4">
        <v>20</v>
      </c>
      <c r="H162" s="5">
        <v>92</v>
      </c>
      <c r="I162" s="5">
        <v>43</v>
      </c>
      <c r="J162" s="5">
        <v>49</v>
      </c>
      <c r="K162" s="3">
        <v>5</v>
      </c>
      <c r="L162" s="3">
        <v>6</v>
      </c>
      <c r="M162" s="3">
        <v>4</v>
      </c>
      <c r="N162" s="3">
        <v>6</v>
      </c>
      <c r="O162" s="3">
        <v>3</v>
      </c>
      <c r="P162" s="3">
        <v>4</v>
      </c>
      <c r="Q162" s="3">
        <v>4</v>
      </c>
      <c r="R162" s="3">
        <v>7</v>
      </c>
      <c r="S162" s="3">
        <v>4</v>
      </c>
      <c r="T162" s="3">
        <v>7</v>
      </c>
      <c r="U162" s="3">
        <v>5</v>
      </c>
      <c r="V162" s="3">
        <v>6</v>
      </c>
      <c r="W162" s="3">
        <v>3</v>
      </c>
      <c r="X162" s="3">
        <v>5</v>
      </c>
      <c r="Y162" s="3">
        <v>6</v>
      </c>
      <c r="Z162" s="3">
        <v>7</v>
      </c>
      <c r="AA162" s="3">
        <v>4</v>
      </c>
      <c r="AB162" s="3">
        <v>6</v>
      </c>
      <c r="AC162" s="83"/>
    </row>
    <row r="163" spans="1:29" x14ac:dyDescent="0.25">
      <c r="A163" s="3" t="s">
        <v>53</v>
      </c>
      <c r="B163" s="6">
        <v>46213</v>
      </c>
      <c r="C163" s="86">
        <v>0.27083333333333331</v>
      </c>
      <c r="D163" s="91">
        <v>85</v>
      </c>
      <c r="E163" s="7">
        <v>71</v>
      </c>
      <c r="F163" s="4">
        <v>18</v>
      </c>
      <c r="G163" s="4">
        <v>27</v>
      </c>
      <c r="H163" s="5">
        <v>98</v>
      </c>
      <c r="I163" s="5">
        <v>55</v>
      </c>
      <c r="J163" s="5">
        <v>43</v>
      </c>
      <c r="K163" s="88">
        <v>8</v>
      </c>
      <c r="L163" s="88">
        <v>5</v>
      </c>
      <c r="M163" s="88">
        <v>7</v>
      </c>
      <c r="N163" s="88">
        <v>7</v>
      </c>
      <c r="O163" s="88">
        <v>4</v>
      </c>
      <c r="P163" s="88">
        <v>7</v>
      </c>
      <c r="Q163" s="88">
        <v>7</v>
      </c>
      <c r="R163" s="88">
        <v>3</v>
      </c>
      <c r="S163" s="88">
        <v>7</v>
      </c>
      <c r="T163" s="88">
        <v>7</v>
      </c>
      <c r="U163" s="88">
        <v>3</v>
      </c>
      <c r="V163" s="88">
        <v>4</v>
      </c>
      <c r="W163" s="88">
        <v>3</v>
      </c>
      <c r="X163" s="88">
        <v>3</v>
      </c>
      <c r="Y163" s="88">
        <v>6</v>
      </c>
      <c r="Z163" s="88">
        <v>4</v>
      </c>
      <c r="AA163" s="88">
        <v>7</v>
      </c>
      <c r="AB163" s="88">
        <v>6</v>
      </c>
      <c r="AC163" s="84"/>
    </row>
    <row r="165" spans="1:29" ht="15" customHeight="1" x14ac:dyDescent="0.25"/>
    <row r="166" spans="1:29" ht="15.75" customHeight="1" thickBot="1" x14ac:dyDescent="0.3">
      <c r="A166" s="63"/>
      <c r="B166" s="63"/>
      <c r="C166" s="63"/>
      <c r="D166" s="64"/>
      <c r="E166" s="65"/>
      <c r="F166" s="63"/>
      <c r="G166" s="63"/>
      <c r="H166" s="63"/>
      <c r="I166" s="63"/>
      <c r="J166" s="63"/>
      <c r="K166" s="63"/>
      <c r="L166" s="63"/>
      <c r="M166" s="63"/>
      <c r="N166" s="63"/>
    </row>
    <row r="167" spans="1:29" ht="21" x14ac:dyDescent="0.35">
      <c r="A167" s="76" t="s">
        <v>189</v>
      </c>
      <c r="B167" s="77"/>
      <c r="C167" s="77"/>
      <c r="D167" s="77"/>
      <c r="E167" s="77"/>
      <c r="F167" s="78"/>
      <c r="G167" s="63"/>
      <c r="H167" s="76" t="s">
        <v>188</v>
      </c>
      <c r="I167" s="77"/>
      <c r="J167" s="77"/>
      <c r="K167" s="77"/>
      <c r="L167" s="77"/>
      <c r="M167" s="78"/>
      <c r="N167" s="63"/>
    </row>
    <row r="168" spans="1:29" x14ac:dyDescent="0.25">
      <c r="A168" s="79" t="s">
        <v>37</v>
      </c>
      <c r="B168" s="80"/>
      <c r="C168" s="80"/>
      <c r="D168" s="80" t="s">
        <v>36</v>
      </c>
      <c r="E168" s="80"/>
      <c r="F168" s="81"/>
      <c r="G168" s="65"/>
      <c r="H168" s="79" t="s">
        <v>37</v>
      </c>
      <c r="I168" s="80"/>
      <c r="J168" s="80"/>
      <c r="K168" s="80" t="s">
        <v>36</v>
      </c>
      <c r="L168" s="80"/>
      <c r="M168" s="81"/>
      <c r="N168" s="63"/>
    </row>
    <row r="169" spans="1:29" x14ac:dyDescent="0.25">
      <c r="A169" s="67">
        <f>_xlfn.LET(_xlpm.r,_xlfn.TAKE(H101:H163,-20),AVERAGE(_xlfn.TAKE(_xlfn._xlws.SORT(_xlpm.r,1,1),8)))</f>
        <v>88.875</v>
      </c>
      <c r="B169" s="68"/>
      <c r="C169" s="68"/>
      <c r="D169" s="71">
        <f>_xlfn.LET(_xlpm.r,_xlfn.TAKE(G101:G163,-20),AVERAGE(_xlfn.TAKE(_xlfn._xlws.SORT(_xlpm.r,1,1),8)))</f>
        <v>16.875</v>
      </c>
      <c r="E169" s="72"/>
      <c r="F169" s="73"/>
      <c r="G169" s="65"/>
      <c r="H169" s="67">
        <f>_xlfn.LET(_xlpm.r,_xlfn.TAKE(H26:H96,-20),AVERAGE(_xlfn.TAKE(_xlfn._xlws.SORT(_xlpm.r,1,1),8)))</f>
        <v>88.875</v>
      </c>
      <c r="I169" s="68"/>
      <c r="J169" s="68"/>
      <c r="K169" s="71">
        <f>_xlfn.LET(_xlpm.r,_xlfn.TAKE(G26:G96,-20),AVERAGE(_xlfn.TAKE(_xlfn._xlws.SORT(_xlpm.r,1,1),8)))</f>
        <v>16.625</v>
      </c>
      <c r="L169" s="72"/>
      <c r="M169" s="73"/>
      <c r="N169" s="63"/>
    </row>
    <row r="170" spans="1:29" ht="15.75" thickBot="1" x14ac:dyDescent="0.3">
      <c r="A170" s="69"/>
      <c r="B170" s="70"/>
      <c r="C170" s="70"/>
      <c r="D170" s="74"/>
      <c r="E170" s="74"/>
      <c r="F170" s="75"/>
      <c r="G170" s="65"/>
      <c r="H170" s="69"/>
      <c r="I170" s="70"/>
      <c r="J170" s="70"/>
      <c r="K170" s="74"/>
      <c r="L170" s="74"/>
      <c r="M170" s="75"/>
      <c r="N170" s="63"/>
    </row>
    <row r="171" spans="1:29" x14ac:dyDescent="0.25">
      <c r="A171" t="s">
        <v>190</v>
      </c>
      <c r="D171"/>
      <c r="G171" s="65"/>
      <c r="H171" t="s">
        <v>187</v>
      </c>
      <c r="N171" s="63"/>
    </row>
    <row r="172" spans="1:29" x14ac:dyDescent="0.25">
      <c r="A172" s="63"/>
      <c r="B172" s="63"/>
      <c r="C172" s="63"/>
      <c r="D172" s="64"/>
      <c r="E172" s="63"/>
      <c r="F172" s="63"/>
      <c r="G172" s="65"/>
      <c r="H172" s="65"/>
      <c r="I172" s="63"/>
      <c r="J172" s="63"/>
      <c r="K172" s="63"/>
      <c r="L172" s="63"/>
      <c r="M172" s="63"/>
      <c r="N172" s="63"/>
    </row>
  </sheetData>
  <autoFilter ref="A1:V1" xr:uid="{A712B0EB-F297-6D42-B1DA-2DA48B8656FB}"/>
  <mergeCells count="10">
    <mergeCell ref="A169:C170"/>
    <mergeCell ref="D169:F170"/>
    <mergeCell ref="H169:J170"/>
    <mergeCell ref="K169:M170"/>
    <mergeCell ref="A167:F167"/>
    <mergeCell ref="H167:M167"/>
    <mergeCell ref="A168:C168"/>
    <mergeCell ref="D168:F168"/>
    <mergeCell ref="H168:J168"/>
    <mergeCell ref="K168:M168"/>
  </mergeCells>
  <phoneticPr fontId="1" alignment="center"/>
  <conditionalFormatting sqref="H100:H163">
    <cfRule type="cellIs" dxfId="9" priority="6" operator="between">
      <formula>70</formula>
      <formula>79</formula>
    </cfRule>
  </conditionalFormatting>
  <conditionalFormatting sqref="H101:H163">
    <cfRule type="cellIs" dxfId="8" priority="10" operator="between">
      <formula>80</formula>
      <formula>89</formula>
    </cfRule>
    <cfRule type="cellIs" dxfId="7" priority="11" operator="greaterThan">
      <formula>100</formula>
    </cfRule>
    <cfRule type="cellIs" dxfId="6" priority="12" operator="between">
      <formula>90</formula>
      <formula>99</formula>
    </cfRule>
  </conditionalFormatting>
  <conditionalFormatting sqref="K101:AB163">
    <cfRule type="expression" dxfId="5" priority="13">
      <formula>AND(K101&lt;&gt;"",K101=_xlfn.MINIFS(K$101:K$163,$A$101:$A$163,$A101))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D73A-8ECE-7540-9F6C-A31BCD7A7C34}">
  <dimension ref="A1:N82"/>
  <sheetViews>
    <sheetView showGridLines="0" zoomScale="93" zoomScaleNormal="100" zoomScaleSheetLayoutView="100" workbookViewId="0">
      <selection activeCell="C5" sqref="C5"/>
    </sheetView>
  </sheetViews>
  <sheetFormatPr defaultRowHeight="15" x14ac:dyDescent="0.25"/>
  <cols>
    <col min="1" max="1" width="12.5703125" customWidth="1"/>
    <col min="2" max="3" width="11.28515625" customWidth="1"/>
    <col min="4" max="4" width="17" bestFit="1" customWidth="1"/>
    <col min="5" max="5" width="11" style="1" bestFit="1" customWidth="1"/>
    <col min="6" max="6" width="8.5703125" customWidth="1"/>
    <col min="7" max="7" width="8.28515625" customWidth="1"/>
    <col min="8" max="8" width="9.7109375" style="2" bestFit="1" customWidth="1"/>
    <col min="9" max="9" width="9.5703125" style="2" bestFit="1" customWidth="1"/>
    <col min="11" max="11" width="18.7109375" bestFit="1" customWidth="1"/>
    <col min="12" max="12" width="12.42578125" bestFit="1" customWidth="1"/>
  </cols>
  <sheetData>
    <row r="1" spans="1:14" ht="30" x14ac:dyDescent="0.25">
      <c r="A1" s="3" t="s">
        <v>2</v>
      </c>
      <c r="B1" s="7" t="s">
        <v>165</v>
      </c>
      <c r="C1" s="7" t="s">
        <v>171</v>
      </c>
      <c r="D1" s="7" t="s">
        <v>160</v>
      </c>
      <c r="E1" s="7" t="s">
        <v>162</v>
      </c>
      <c r="F1" s="4" t="s">
        <v>161</v>
      </c>
      <c r="G1" s="7" t="s">
        <v>166</v>
      </c>
      <c r="H1" s="7" t="s">
        <v>163</v>
      </c>
      <c r="I1" s="7" t="s">
        <v>164</v>
      </c>
      <c r="K1" s="59" t="s">
        <v>2</v>
      </c>
      <c r="L1" s="59" t="s">
        <v>172</v>
      </c>
      <c r="M1" s="59" t="s">
        <v>173</v>
      </c>
      <c r="N1" s="59" t="s">
        <v>171</v>
      </c>
    </row>
    <row r="2" spans="1:14" x14ac:dyDescent="0.25">
      <c r="A2" s="3" t="s">
        <v>28</v>
      </c>
      <c r="B2" s="58">
        <f t="shared" ref="B2:B11" si="0">AVERAGE(C2:I2)</f>
        <v>66.517857142857139</v>
      </c>
      <c r="C2" s="58">
        <v>17.5</v>
      </c>
      <c r="D2" s="58">
        <f t="shared" ref="D2:D11" si="1">IFERROR(AVERAGEIFS($D$22:$D$1004,$A$22:$A$1004,$A2),"")*$B$17</f>
        <v>55</v>
      </c>
      <c r="E2" s="58">
        <f t="shared" ref="E2:E11" si="2">IFERROR(AVERAGEIFS($E$22:$E$1004,$A$22:$A$1004,$A2),"")*$B$17</f>
        <v>63.125</v>
      </c>
      <c r="F2" s="58">
        <f t="shared" ref="F2:F11" si="3">IFERROR(AVERAGEIFS($F$22:$F$1004,$A$22:$A$1004,$A2),"")*$B$17</f>
        <v>80</v>
      </c>
      <c r="G2" s="58">
        <f t="shared" ref="G2:G11" si="4">IFERROR(AVERAGEIFS($G$22:$G$1004,$A$22:$A$1004,$A2),"")*$B$17</f>
        <v>100</v>
      </c>
      <c r="H2" s="58">
        <f t="shared" ref="H2:H11" si="5">IFERROR(AVERAGEIFS($H$22:$H$1004,$A$22:$A$1004,$A2),"")*$B$17</f>
        <v>70</v>
      </c>
      <c r="I2" s="58">
        <f t="shared" ref="I2:I11" si="6">IFERROR(AVERAGEIFS($I$22:$I$1004,$A$22:$A$1004,$A2),"")*$B$17</f>
        <v>80</v>
      </c>
      <c r="K2" s="60" t="s">
        <v>28</v>
      </c>
      <c r="L2" s="60">
        <v>69.5</v>
      </c>
      <c r="M2" s="60">
        <v>130</v>
      </c>
      <c r="N2" s="60">
        <v>82.5</v>
      </c>
    </row>
    <row r="3" spans="1:14" ht="30" x14ac:dyDescent="0.25">
      <c r="A3" s="3" t="s">
        <v>31</v>
      </c>
      <c r="B3" s="58">
        <f t="shared" si="0"/>
        <v>63.885714285714286</v>
      </c>
      <c r="C3" s="58">
        <v>17.200000000000003</v>
      </c>
      <c r="D3" s="58">
        <f t="shared" si="1"/>
        <v>70</v>
      </c>
      <c r="E3" s="58">
        <f t="shared" si="2"/>
        <v>70</v>
      </c>
      <c r="F3" s="58">
        <f t="shared" si="3"/>
        <v>80</v>
      </c>
      <c r="G3" s="58">
        <f t="shared" si="4"/>
        <v>70</v>
      </c>
      <c r="H3" s="58">
        <f t="shared" si="5"/>
        <v>70</v>
      </c>
      <c r="I3" s="58">
        <f t="shared" si="6"/>
        <v>70</v>
      </c>
      <c r="K3" s="60" t="s">
        <v>174</v>
      </c>
      <c r="L3" s="60">
        <v>70.2</v>
      </c>
      <c r="M3" s="60">
        <v>130</v>
      </c>
      <c r="N3" s="60">
        <v>83.2</v>
      </c>
    </row>
    <row r="4" spans="1:14" ht="30" x14ac:dyDescent="0.25">
      <c r="A4" s="3" t="s">
        <v>30</v>
      </c>
      <c r="B4" s="58">
        <f t="shared" si="0"/>
        <v>63.828571428571429</v>
      </c>
      <c r="C4" s="58">
        <v>16.799999999999997</v>
      </c>
      <c r="D4" s="58">
        <f t="shared" si="1"/>
        <v>70</v>
      </c>
      <c r="E4" s="58">
        <f t="shared" si="2"/>
        <v>70</v>
      </c>
      <c r="F4" s="58">
        <f t="shared" si="3"/>
        <v>80</v>
      </c>
      <c r="G4" s="58">
        <f t="shared" si="4"/>
        <v>70</v>
      </c>
      <c r="H4" s="58">
        <f t="shared" si="5"/>
        <v>70</v>
      </c>
      <c r="I4" s="58">
        <f t="shared" si="6"/>
        <v>70</v>
      </c>
      <c r="K4" s="60" t="s">
        <v>175</v>
      </c>
      <c r="L4" s="60">
        <v>70</v>
      </c>
      <c r="M4" s="60">
        <v>128</v>
      </c>
      <c r="N4" s="60">
        <v>82.8</v>
      </c>
    </row>
    <row r="5" spans="1:14" x14ac:dyDescent="0.25">
      <c r="A5" s="3" t="s">
        <v>181</v>
      </c>
      <c r="B5" s="58">
        <f t="shared" si="0"/>
        <v>59.31428571428571</v>
      </c>
      <c r="C5" s="58">
        <v>15.200000000000003</v>
      </c>
      <c r="D5" s="58">
        <f t="shared" si="1"/>
        <v>80</v>
      </c>
      <c r="E5" s="58">
        <f t="shared" si="2"/>
        <v>80</v>
      </c>
      <c r="F5" s="58">
        <f t="shared" si="3"/>
        <v>80</v>
      </c>
      <c r="G5" s="58">
        <f t="shared" si="4"/>
        <v>60</v>
      </c>
      <c r="H5" s="58">
        <f t="shared" si="5"/>
        <v>70</v>
      </c>
      <c r="I5" s="58">
        <f t="shared" si="6"/>
        <v>30</v>
      </c>
      <c r="K5" s="60" t="s">
        <v>176</v>
      </c>
      <c r="L5" s="60">
        <v>71.8</v>
      </c>
      <c r="M5" s="60">
        <v>130</v>
      </c>
      <c r="N5" s="60">
        <v>84.8</v>
      </c>
    </row>
    <row r="6" spans="1:14" x14ac:dyDescent="0.25">
      <c r="A6" s="3" t="s">
        <v>3</v>
      </c>
      <c r="B6" s="58">
        <f t="shared" si="0"/>
        <v>59.071428571428569</v>
      </c>
      <c r="C6" s="58">
        <v>13.5</v>
      </c>
      <c r="D6" s="58">
        <f t="shared" si="1"/>
        <v>70</v>
      </c>
      <c r="E6" s="58">
        <f t="shared" si="2"/>
        <v>70</v>
      </c>
      <c r="F6" s="58">
        <f t="shared" si="3"/>
        <v>30</v>
      </c>
      <c r="G6" s="58">
        <f t="shared" si="4"/>
        <v>70</v>
      </c>
      <c r="H6" s="58">
        <f t="shared" si="5"/>
        <v>70</v>
      </c>
      <c r="I6" s="58">
        <f t="shared" si="6"/>
        <v>90</v>
      </c>
      <c r="K6" s="60" t="s">
        <v>3</v>
      </c>
      <c r="L6" s="60">
        <v>72.5</v>
      </c>
      <c r="M6" s="60">
        <v>140</v>
      </c>
      <c r="N6" s="60">
        <v>86.5</v>
      </c>
    </row>
    <row r="7" spans="1:14" x14ac:dyDescent="0.25">
      <c r="A7" s="3" t="s">
        <v>158</v>
      </c>
      <c r="B7" s="58">
        <f t="shared" si="0"/>
        <v>54.31428571428571</v>
      </c>
      <c r="C7" s="58">
        <v>15.200000000000003</v>
      </c>
      <c r="D7" s="58">
        <f t="shared" si="1"/>
        <v>75</v>
      </c>
      <c r="E7" s="58">
        <f t="shared" si="2"/>
        <v>50</v>
      </c>
      <c r="F7" s="58">
        <f t="shared" si="3"/>
        <v>80</v>
      </c>
      <c r="G7" s="58">
        <f t="shared" si="4"/>
        <v>60</v>
      </c>
      <c r="H7" s="58">
        <f t="shared" si="5"/>
        <v>70</v>
      </c>
      <c r="I7" s="58">
        <f t="shared" si="6"/>
        <v>30</v>
      </c>
      <c r="K7" s="60" t="s">
        <v>177</v>
      </c>
      <c r="L7" s="60">
        <v>70.5</v>
      </c>
      <c r="M7" s="60">
        <v>130</v>
      </c>
      <c r="N7" s="60">
        <v>83.5</v>
      </c>
    </row>
    <row r="8" spans="1:14" x14ac:dyDescent="0.25">
      <c r="A8" s="3" t="s">
        <v>57</v>
      </c>
      <c r="B8" s="58">
        <f t="shared" si="0"/>
        <v>53.785714285714285</v>
      </c>
      <c r="C8" s="58">
        <v>16.5</v>
      </c>
      <c r="D8" s="58">
        <f t="shared" si="1"/>
        <v>70</v>
      </c>
      <c r="E8" s="58">
        <f t="shared" si="2"/>
        <v>50</v>
      </c>
      <c r="F8" s="58">
        <f t="shared" si="3"/>
        <v>70</v>
      </c>
      <c r="G8" s="58">
        <f t="shared" si="4"/>
        <v>80</v>
      </c>
      <c r="H8" s="58">
        <f t="shared" si="5"/>
        <v>50</v>
      </c>
      <c r="I8" s="58">
        <f t="shared" si="6"/>
        <v>40</v>
      </c>
      <c r="K8" s="60" t="s">
        <v>150</v>
      </c>
      <c r="L8" s="60">
        <v>71.7</v>
      </c>
      <c r="M8" s="60">
        <v>140</v>
      </c>
      <c r="N8" s="60">
        <v>85.7</v>
      </c>
    </row>
    <row r="9" spans="1:14" x14ac:dyDescent="0.25">
      <c r="A9" s="3" t="s">
        <v>150</v>
      </c>
      <c r="B9" s="58">
        <f t="shared" si="0"/>
        <v>47.75714285714286</v>
      </c>
      <c r="C9" s="58">
        <v>14.299999999999997</v>
      </c>
      <c r="D9" s="58">
        <f t="shared" si="1"/>
        <v>70</v>
      </c>
      <c r="E9" s="58">
        <f t="shared" si="2"/>
        <v>70</v>
      </c>
      <c r="F9" s="58">
        <f t="shared" si="3"/>
        <v>40</v>
      </c>
      <c r="G9" s="58">
        <f t="shared" si="4"/>
        <v>40</v>
      </c>
      <c r="H9" s="58">
        <f t="shared" si="5"/>
        <v>50</v>
      </c>
      <c r="I9" s="58">
        <f t="shared" si="6"/>
        <v>50</v>
      </c>
      <c r="K9" s="60" t="s">
        <v>178</v>
      </c>
      <c r="L9" s="60">
        <v>70.900000000000006</v>
      </c>
      <c r="M9" s="60">
        <v>130</v>
      </c>
      <c r="N9" s="60">
        <v>83.9</v>
      </c>
    </row>
    <row r="10" spans="1:14" x14ac:dyDescent="0.25">
      <c r="A10" s="3" t="s">
        <v>53</v>
      </c>
      <c r="B10" s="58">
        <f t="shared" si="0"/>
        <v>46.585714285714289</v>
      </c>
      <c r="C10" s="58">
        <v>16.099999999999994</v>
      </c>
      <c r="D10" s="58">
        <f t="shared" si="1"/>
        <v>60</v>
      </c>
      <c r="E10" s="58">
        <f t="shared" si="2"/>
        <v>50</v>
      </c>
      <c r="F10" s="58">
        <f t="shared" si="3"/>
        <v>50</v>
      </c>
      <c r="G10" s="58">
        <f t="shared" si="4"/>
        <v>50</v>
      </c>
      <c r="H10" s="58">
        <f t="shared" si="5"/>
        <v>50</v>
      </c>
      <c r="I10" s="58">
        <f t="shared" si="6"/>
        <v>50</v>
      </c>
      <c r="K10" s="60" t="s">
        <v>179</v>
      </c>
      <c r="L10" s="60">
        <v>71.3</v>
      </c>
      <c r="M10" s="60">
        <v>140</v>
      </c>
      <c r="N10" s="60">
        <v>85.3</v>
      </c>
    </row>
    <row r="11" spans="1:14" x14ac:dyDescent="0.25">
      <c r="A11" s="62" t="s">
        <v>56</v>
      </c>
      <c r="B11" s="58">
        <f t="shared" si="0"/>
        <v>36.385714285714286</v>
      </c>
      <c r="C11" s="58">
        <v>14.700000000000003</v>
      </c>
      <c r="D11" s="58">
        <f t="shared" si="1"/>
        <v>50</v>
      </c>
      <c r="E11" s="58">
        <f t="shared" si="2"/>
        <v>50</v>
      </c>
      <c r="F11" s="58">
        <f t="shared" si="3"/>
        <v>20</v>
      </c>
      <c r="G11" s="58">
        <f t="shared" si="4"/>
        <v>20</v>
      </c>
      <c r="H11" s="58">
        <f t="shared" si="5"/>
        <v>50</v>
      </c>
      <c r="I11" s="58">
        <f t="shared" si="6"/>
        <v>50</v>
      </c>
      <c r="K11" s="60"/>
      <c r="L11" s="60"/>
      <c r="M11" s="60"/>
      <c r="N11" s="60"/>
    </row>
    <row r="12" spans="1:14" x14ac:dyDescent="0.25">
      <c r="A12" s="62"/>
      <c r="B12" s="61"/>
      <c r="C12" s="61"/>
      <c r="D12" s="61"/>
      <c r="E12" s="61"/>
      <c r="F12" s="61"/>
      <c r="G12" s="61"/>
      <c r="H12" s="61"/>
      <c r="I12" s="61"/>
      <c r="K12" s="60"/>
      <c r="L12" s="60"/>
      <c r="M12" s="60"/>
      <c r="N12" s="60"/>
    </row>
    <row r="13" spans="1:14" x14ac:dyDescent="0.25">
      <c r="B13" s="61"/>
      <c r="C13" s="61"/>
      <c r="D13" s="61"/>
      <c r="E13" s="61"/>
      <c r="F13" s="61"/>
      <c r="G13" s="61"/>
      <c r="H13" s="61"/>
      <c r="I13" s="61"/>
      <c r="K13" s="60"/>
      <c r="L13" s="60"/>
      <c r="M13" s="60"/>
      <c r="N13" s="60"/>
    </row>
    <row r="14" spans="1:14" x14ac:dyDescent="0.25">
      <c r="B14" s="61"/>
      <c r="C14" s="61"/>
      <c r="D14" s="61"/>
      <c r="E14" s="61"/>
      <c r="F14" s="61"/>
      <c r="G14" s="61"/>
      <c r="H14" s="61"/>
      <c r="I14" s="61"/>
      <c r="K14" s="60"/>
      <c r="L14" s="60"/>
      <c r="M14" s="60"/>
      <c r="N14" s="60"/>
    </row>
    <row r="15" spans="1:14" x14ac:dyDescent="0.25">
      <c r="B15" s="2"/>
      <c r="C15" s="2"/>
      <c r="D15" s="2"/>
      <c r="F15" s="2"/>
      <c r="G15" s="2"/>
    </row>
    <row r="16" spans="1:14" x14ac:dyDescent="0.25">
      <c r="A16" t="s">
        <v>167</v>
      </c>
      <c r="B16" s="2"/>
      <c r="C16" s="2"/>
      <c r="D16" s="2"/>
      <c r="F16" s="2"/>
      <c r="G16" s="2"/>
    </row>
    <row r="17" spans="1:9" x14ac:dyDescent="0.25">
      <c r="A17" t="s">
        <v>168</v>
      </c>
      <c r="B17" s="2">
        <v>10</v>
      </c>
      <c r="C17" s="2"/>
      <c r="D17" s="2"/>
      <c r="F17" s="2"/>
      <c r="G17" s="2"/>
    </row>
    <row r="18" spans="1:9" x14ac:dyDescent="0.25">
      <c r="A18" t="s">
        <v>170</v>
      </c>
      <c r="B18" s="2">
        <v>10</v>
      </c>
      <c r="C18" s="2"/>
      <c r="D18" s="2"/>
      <c r="F18" s="2"/>
      <c r="G18" s="2"/>
    </row>
    <row r="19" spans="1:9" x14ac:dyDescent="0.25">
      <c r="A19" t="s">
        <v>169</v>
      </c>
      <c r="B19" s="2">
        <v>1</v>
      </c>
      <c r="C19" s="2"/>
      <c r="D19" s="2"/>
      <c r="F19" s="2"/>
      <c r="G19" s="2"/>
    </row>
    <row r="20" spans="1:9" x14ac:dyDescent="0.25">
      <c r="B20" s="2"/>
      <c r="C20" s="2"/>
      <c r="D20" s="2"/>
      <c r="F20" s="2"/>
      <c r="G20" s="2"/>
    </row>
    <row r="21" spans="1:9" x14ac:dyDescent="0.25">
      <c r="A21" t="s">
        <v>51</v>
      </c>
    </row>
    <row r="22" spans="1:9" x14ac:dyDescent="0.25">
      <c r="A22" s="9" t="s">
        <v>2</v>
      </c>
      <c r="B22" s="10" t="s">
        <v>23</v>
      </c>
      <c r="C22" s="7" t="s">
        <v>171</v>
      </c>
      <c r="D22" s="7" t="s">
        <v>160</v>
      </c>
      <c r="E22" s="7" t="s">
        <v>162</v>
      </c>
      <c r="F22" s="4" t="s">
        <v>161</v>
      </c>
      <c r="G22" s="7" t="s">
        <v>166</v>
      </c>
      <c r="H22" s="7" t="s">
        <v>163</v>
      </c>
      <c r="I22" s="7" t="s">
        <v>164</v>
      </c>
    </row>
    <row r="23" spans="1:9" x14ac:dyDescent="0.25">
      <c r="A23" s="8" t="s">
        <v>30</v>
      </c>
      <c r="B23" s="6">
        <v>45660</v>
      </c>
      <c r="C23" s="3">
        <v>6</v>
      </c>
      <c r="D23" s="3">
        <v>7</v>
      </c>
      <c r="E23" s="7">
        <v>7</v>
      </c>
      <c r="F23" s="4">
        <v>8</v>
      </c>
      <c r="G23" s="4">
        <v>7</v>
      </c>
      <c r="H23" s="5">
        <v>7</v>
      </c>
      <c r="I23" s="5">
        <v>7</v>
      </c>
    </row>
    <row r="24" spans="1:9" x14ac:dyDescent="0.25">
      <c r="A24" s="8" t="s">
        <v>28</v>
      </c>
      <c r="B24" s="6">
        <v>45681</v>
      </c>
      <c r="C24" s="3">
        <v>3</v>
      </c>
      <c r="D24" s="3">
        <v>6</v>
      </c>
      <c r="E24" s="7">
        <v>6</v>
      </c>
      <c r="F24" s="4">
        <v>8</v>
      </c>
      <c r="G24" s="4">
        <v>10</v>
      </c>
      <c r="H24" s="5">
        <v>7</v>
      </c>
      <c r="I24" s="5">
        <v>8</v>
      </c>
    </row>
    <row r="25" spans="1:9" x14ac:dyDescent="0.25">
      <c r="A25" s="8" t="s">
        <v>30</v>
      </c>
      <c r="B25" s="6">
        <v>45692</v>
      </c>
      <c r="C25" s="3">
        <v>6</v>
      </c>
      <c r="D25" s="3">
        <v>7</v>
      </c>
      <c r="E25" s="7">
        <v>7</v>
      </c>
      <c r="F25" s="4">
        <v>8</v>
      </c>
      <c r="G25" s="4">
        <v>7</v>
      </c>
      <c r="H25" s="5">
        <v>7</v>
      </c>
      <c r="I25" s="5">
        <v>7</v>
      </c>
    </row>
    <row r="26" spans="1:9" x14ac:dyDescent="0.25">
      <c r="A26" s="8" t="s">
        <v>30</v>
      </c>
      <c r="B26" s="6">
        <v>45693</v>
      </c>
      <c r="C26" s="3">
        <v>6</v>
      </c>
      <c r="D26" s="3">
        <v>7</v>
      </c>
      <c r="E26" s="7">
        <v>7</v>
      </c>
      <c r="F26" s="4">
        <v>8</v>
      </c>
      <c r="G26" s="4">
        <v>7</v>
      </c>
      <c r="H26" s="5">
        <v>7</v>
      </c>
      <c r="I26" s="5">
        <v>7</v>
      </c>
    </row>
    <row r="27" spans="1:9" x14ac:dyDescent="0.25">
      <c r="A27" s="8" t="s">
        <v>28</v>
      </c>
      <c r="B27" s="6">
        <v>45695</v>
      </c>
      <c r="C27" s="3">
        <v>3</v>
      </c>
      <c r="D27" s="3">
        <v>6</v>
      </c>
      <c r="E27" s="7">
        <v>6</v>
      </c>
      <c r="F27" s="4">
        <v>8</v>
      </c>
      <c r="G27" s="4">
        <v>10</v>
      </c>
      <c r="H27" s="5">
        <v>7</v>
      </c>
      <c r="I27" s="5">
        <v>8</v>
      </c>
    </row>
    <row r="28" spans="1:9" x14ac:dyDescent="0.25">
      <c r="A28" s="8" t="s">
        <v>3</v>
      </c>
      <c r="B28" s="6">
        <v>45696</v>
      </c>
      <c r="C28" s="3">
        <v>5</v>
      </c>
      <c r="D28" s="3">
        <v>7</v>
      </c>
      <c r="E28" s="7">
        <v>7</v>
      </c>
      <c r="F28" s="4">
        <v>3</v>
      </c>
      <c r="G28" s="4">
        <v>7</v>
      </c>
      <c r="H28" s="5">
        <v>7</v>
      </c>
      <c r="I28" s="5">
        <v>9</v>
      </c>
    </row>
    <row r="29" spans="1:9" x14ac:dyDescent="0.25">
      <c r="A29" s="8" t="s">
        <v>3</v>
      </c>
      <c r="B29" s="6">
        <v>45703</v>
      </c>
      <c r="C29" s="3">
        <v>5</v>
      </c>
      <c r="D29" s="3">
        <v>7</v>
      </c>
      <c r="E29" s="7">
        <v>7</v>
      </c>
      <c r="F29" s="4">
        <v>3</v>
      </c>
      <c r="G29" s="4">
        <v>7</v>
      </c>
      <c r="H29" s="5">
        <v>7</v>
      </c>
      <c r="I29" s="5">
        <v>9</v>
      </c>
    </row>
    <row r="30" spans="1:9" x14ac:dyDescent="0.25">
      <c r="A30" s="8" t="s">
        <v>30</v>
      </c>
      <c r="B30" s="6">
        <v>45711</v>
      </c>
      <c r="C30" s="3">
        <v>6</v>
      </c>
      <c r="D30" s="3">
        <v>7</v>
      </c>
      <c r="E30" s="7">
        <v>7</v>
      </c>
      <c r="F30" s="4">
        <v>8</v>
      </c>
      <c r="G30" s="4">
        <v>7</v>
      </c>
      <c r="H30" s="5">
        <v>7</v>
      </c>
      <c r="I30" s="5">
        <v>7</v>
      </c>
    </row>
    <row r="31" spans="1:9" x14ac:dyDescent="0.25">
      <c r="A31" s="8" t="s">
        <v>30</v>
      </c>
      <c r="B31" s="6">
        <v>45712</v>
      </c>
      <c r="C31" s="3">
        <v>6</v>
      </c>
      <c r="D31" s="3">
        <v>7</v>
      </c>
      <c r="E31" s="7">
        <v>7</v>
      </c>
      <c r="F31" s="4">
        <v>8</v>
      </c>
      <c r="G31" s="4">
        <v>7</v>
      </c>
      <c r="H31" s="5">
        <v>7</v>
      </c>
      <c r="I31" s="5">
        <v>7</v>
      </c>
    </row>
    <row r="32" spans="1:9" x14ac:dyDescent="0.25">
      <c r="A32" s="8" t="s">
        <v>30</v>
      </c>
      <c r="B32" s="6">
        <v>45714</v>
      </c>
      <c r="C32" s="3">
        <v>6</v>
      </c>
      <c r="D32" s="3">
        <v>7</v>
      </c>
      <c r="E32" s="7">
        <v>7</v>
      </c>
      <c r="F32" s="4">
        <v>8</v>
      </c>
      <c r="G32" s="4">
        <v>7</v>
      </c>
      <c r="H32" s="5">
        <v>7</v>
      </c>
      <c r="I32" s="5">
        <v>7</v>
      </c>
    </row>
    <row r="33" spans="1:9" x14ac:dyDescent="0.25">
      <c r="A33" s="8" t="s">
        <v>3</v>
      </c>
      <c r="B33" s="6">
        <v>45716</v>
      </c>
      <c r="C33" s="3">
        <v>5</v>
      </c>
      <c r="D33" s="3">
        <v>7</v>
      </c>
      <c r="E33" s="7">
        <v>7</v>
      </c>
      <c r="F33" s="4">
        <v>3</v>
      </c>
      <c r="G33" s="4">
        <v>7</v>
      </c>
      <c r="H33" s="5">
        <v>7</v>
      </c>
      <c r="I33" s="5">
        <v>9</v>
      </c>
    </row>
    <row r="34" spans="1:9" x14ac:dyDescent="0.25">
      <c r="A34" s="8" t="s">
        <v>3</v>
      </c>
      <c r="B34" s="6">
        <v>45723</v>
      </c>
      <c r="C34" s="3">
        <v>5</v>
      </c>
      <c r="D34" s="3">
        <v>7</v>
      </c>
      <c r="E34" s="7">
        <v>7</v>
      </c>
      <c r="F34" s="4">
        <v>3</v>
      </c>
      <c r="G34" s="4">
        <v>7</v>
      </c>
      <c r="H34" s="5">
        <v>7</v>
      </c>
      <c r="I34" s="5">
        <v>9</v>
      </c>
    </row>
    <row r="35" spans="1:9" x14ac:dyDescent="0.25">
      <c r="A35" s="8" t="s">
        <v>3</v>
      </c>
      <c r="B35" s="6">
        <v>45754</v>
      </c>
      <c r="C35" s="3">
        <v>5</v>
      </c>
      <c r="D35" s="3">
        <v>7</v>
      </c>
      <c r="E35" s="7">
        <v>7</v>
      </c>
      <c r="F35" s="4">
        <v>3</v>
      </c>
      <c r="G35" s="4">
        <v>7</v>
      </c>
      <c r="H35" s="5">
        <v>7</v>
      </c>
      <c r="I35" s="5">
        <v>9</v>
      </c>
    </row>
    <row r="36" spans="1:9" x14ac:dyDescent="0.25">
      <c r="A36" s="14" t="s">
        <v>3</v>
      </c>
      <c r="B36" s="15">
        <v>45755</v>
      </c>
      <c r="C36" s="3">
        <v>5</v>
      </c>
      <c r="D36" s="3">
        <v>7</v>
      </c>
      <c r="E36" s="7">
        <v>7</v>
      </c>
      <c r="F36" s="4">
        <v>3</v>
      </c>
      <c r="G36" s="4">
        <v>7</v>
      </c>
      <c r="H36" s="5">
        <v>7</v>
      </c>
      <c r="I36" s="5">
        <v>9</v>
      </c>
    </row>
    <row r="37" spans="1:9" x14ac:dyDescent="0.25">
      <c r="A37" s="14" t="s">
        <v>30</v>
      </c>
      <c r="B37" s="15">
        <v>45757</v>
      </c>
      <c r="C37" s="3">
        <v>6</v>
      </c>
      <c r="D37" s="3">
        <v>7</v>
      </c>
      <c r="E37" s="7">
        <v>7</v>
      </c>
      <c r="F37" s="4">
        <v>8</v>
      </c>
      <c r="G37" s="4">
        <v>7</v>
      </c>
      <c r="H37" s="5">
        <v>7</v>
      </c>
      <c r="I37" s="5">
        <v>7</v>
      </c>
    </row>
    <row r="38" spans="1:9" x14ac:dyDescent="0.25">
      <c r="A38" s="14" t="s">
        <v>3</v>
      </c>
      <c r="B38" s="15">
        <v>45758</v>
      </c>
      <c r="C38" s="3">
        <v>5</v>
      </c>
      <c r="D38" s="3">
        <v>7</v>
      </c>
      <c r="E38" s="7">
        <v>7</v>
      </c>
      <c r="F38" s="4">
        <v>3</v>
      </c>
      <c r="G38" s="4">
        <v>7</v>
      </c>
      <c r="H38" s="5">
        <v>7</v>
      </c>
      <c r="I38" s="5">
        <v>9</v>
      </c>
    </row>
    <row r="39" spans="1:9" x14ac:dyDescent="0.25">
      <c r="A39" s="14" t="s">
        <v>31</v>
      </c>
      <c r="B39" s="15">
        <v>45853</v>
      </c>
      <c r="C39" s="3">
        <v>5</v>
      </c>
      <c r="D39" s="3">
        <v>7</v>
      </c>
      <c r="E39" s="21">
        <v>7</v>
      </c>
      <c r="F39" s="4">
        <v>8</v>
      </c>
      <c r="G39" s="4">
        <v>7</v>
      </c>
      <c r="H39" s="5">
        <v>7</v>
      </c>
      <c r="I39" s="5">
        <v>7</v>
      </c>
    </row>
    <row r="40" spans="1:9" x14ac:dyDescent="0.25">
      <c r="A40" s="8" t="s">
        <v>31</v>
      </c>
      <c r="B40" s="6">
        <v>45859</v>
      </c>
      <c r="C40" s="3">
        <v>5</v>
      </c>
      <c r="D40" s="3">
        <v>7</v>
      </c>
      <c r="E40" s="21">
        <v>7</v>
      </c>
      <c r="F40" s="4">
        <v>8</v>
      </c>
      <c r="G40" s="4">
        <v>7</v>
      </c>
      <c r="H40" s="5">
        <v>7</v>
      </c>
      <c r="I40" s="5">
        <v>7</v>
      </c>
    </row>
    <row r="41" spans="1:9" x14ac:dyDescent="0.25">
      <c r="A41" s="8" t="s">
        <v>31</v>
      </c>
      <c r="B41" s="6">
        <v>45862</v>
      </c>
      <c r="C41" s="3">
        <v>5</v>
      </c>
      <c r="D41" s="3">
        <v>7</v>
      </c>
      <c r="E41" s="21">
        <v>7</v>
      </c>
      <c r="F41" s="4">
        <v>8</v>
      </c>
      <c r="G41" s="4">
        <v>7</v>
      </c>
      <c r="H41" s="5">
        <v>7</v>
      </c>
      <c r="I41" s="5">
        <v>7</v>
      </c>
    </row>
    <row r="42" spans="1:9" x14ac:dyDescent="0.25">
      <c r="A42" s="14" t="s">
        <v>28</v>
      </c>
      <c r="B42" s="15">
        <v>45863</v>
      </c>
      <c r="C42" s="3">
        <v>3</v>
      </c>
      <c r="D42" s="3">
        <v>6</v>
      </c>
      <c r="E42" s="7">
        <v>6</v>
      </c>
      <c r="F42" s="4">
        <v>8</v>
      </c>
      <c r="G42" s="4">
        <v>10</v>
      </c>
      <c r="H42" s="5">
        <v>7</v>
      </c>
      <c r="I42" s="5">
        <v>8</v>
      </c>
    </row>
    <row r="43" spans="1:9" x14ac:dyDescent="0.25">
      <c r="A43" s="14" t="s">
        <v>30</v>
      </c>
      <c r="B43" s="15">
        <v>45882</v>
      </c>
      <c r="C43" s="3">
        <v>6</v>
      </c>
      <c r="D43" s="3">
        <v>7</v>
      </c>
      <c r="E43" s="7">
        <v>7</v>
      </c>
      <c r="F43" s="4">
        <v>8</v>
      </c>
      <c r="G43" s="4">
        <v>7</v>
      </c>
      <c r="H43" s="5">
        <v>7</v>
      </c>
      <c r="I43" s="5">
        <v>7</v>
      </c>
    </row>
    <row r="44" spans="1:9" x14ac:dyDescent="0.25">
      <c r="A44" s="14" t="s">
        <v>31</v>
      </c>
      <c r="B44" s="15">
        <v>45888</v>
      </c>
      <c r="C44" s="3">
        <v>5</v>
      </c>
      <c r="D44" s="3">
        <v>7</v>
      </c>
      <c r="E44" s="21">
        <v>7</v>
      </c>
      <c r="F44" s="4">
        <v>8</v>
      </c>
      <c r="G44" s="4">
        <v>7</v>
      </c>
      <c r="H44" s="5">
        <v>7</v>
      </c>
      <c r="I44" s="5">
        <v>7</v>
      </c>
    </row>
    <row r="45" spans="1:9" x14ac:dyDescent="0.25">
      <c r="A45" s="14" t="s">
        <v>31</v>
      </c>
      <c r="B45" s="15">
        <v>45890</v>
      </c>
      <c r="C45" s="3">
        <v>5</v>
      </c>
      <c r="D45" s="3">
        <v>7</v>
      </c>
      <c r="E45" s="21">
        <v>7</v>
      </c>
      <c r="F45" s="4">
        <v>8</v>
      </c>
      <c r="G45" s="4">
        <v>7</v>
      </c>
      <c r="H45" s="5">
        <v>7</v>
      </c>
      <c r="I45" s="5">
        <v>7</v>
      </c>
    </row>
    <row r="46" spans="1:9" x14ac:dyDescent="0.25">
      <c r="A46" s="14" t="s">
        <v>31</v>
      </c>
      <c r="B46" s="15">
        <v>45895</v>
      </c>
      <c r="C46" s="3">
        <v>5</v>
      </c>
      <c r="D46" s="3">
        <v>7</v>
      </c>
      <c r="E46" s="21">
        <v>7</v>
      </c>
      <c r="F46" s="4">
        <v>8</v>
      </c>
      <c r="G46" s="4">
        <v>7</v>
      </c>
      <c r="H46" s="5">
        <v>7</v>
      </c>
      <c r="I46" s="5">
        <v>7</v>
      </c>
    </row>
    <row r="47" spans="1:9" x14ac:dyDescent="0.25">
      <c r="A47" s="14" t="s">
        <v>28</v>
      </c>
      <c r="B47" s="15">
        <v>45904</v>
      </c>
      <c r="C47" s="3">
        <v>3</v>
      </c>
      <c r="D47" s="3">
        <v>6</v>
      </c>
      <c r="E47" s="7">
        <v>6</v>
      </c>
      <c r="F47" s="4">
        <v>8</v>
      </c>
      <c r="G47" s="4">
        <v>10</v>
      </c>
      <c r="H47" s="5">
        <v>7</v>
      </c>
      <c r="I47" s="5">
        <v>8</v>
      </c>
    </row>
    <row r="48" spans="1:9" x14ac:dyDescent="0.25">
      <c r="A48" s="14" t="s">
        <v>53</v>
      </c>
      <c r="B48" s="15">
        <v>45905</v>
      </c>
      <c r="C48" s="3">
        <v>5</v>
      </c>
      <c r="D48" s="3">
        <v>6</v>
      </c>
      <c r="E48" s="7">
        <v>5</v>
      </c>
      <c r="F48" s="4">
        <v>5</v>
      </c>
      <c r="G48" s="4">
        <v>5</v>
      </c>
      <c r="H48" s="5">
        <v>5</v>
      </c>
      <c r="I48" s="5">
        <v>5</v>
      </c>
    </row>
    <row r="49" spans="1:9" x14ac:dyDescent="0.25">
      <c r="A49" s="14" t="s">
        <v>31</v>
      </c>
      <c r="B49" s="15">
        <v>45910</v>
      </c>
      <c r="C49" s="3">
        <v>5</v>
      </c>
      <c r="D49" s="3">
        <v>7</v>
      </c>
      <c r="E49" s="21">
        <v>7</v>
      </c>
      <c r="F49" s="4">
        <v>8</v>
      </c>
      <c r="G49" s="4">
        <v>7</v>
      </c>
      <c r="H49" s="5">
        <v>7</v>
      </c>
      <c r="I49" s="5">
        <v>7</v>
      </c>
    </row>
    <row r="50" spans="1:9" x14ac:dyDescent="0.25">
      <c r="A50" s="8" t="s">
        <v>28</v>
      </c>
      <c r="B50" s="6">
        <v>45917</v>
      </c>
      <c r="C50" s="3">
        <v>3</v>
      </c>
      <c r="D50" s="3">
        <v>6</v>
      </c>
      <c r="E50" s="7">
        <v>6</v>
      </c>
      <c r="F50" s="4">
        <v>8</v>
      </c>
      <c r="G50" s="4">
        <v>10</v>
      </c>
      <c r="H50" s="5">
        <v>7</v>
      </c>
      <c r="I50" s="5">
        <v>8</v>
      </c>
    </row>
    <row r="51" spans="1:9" x14ac:dyDescent="0.25">
      <c r="A51" s="14" t="s">
        <v>31</v>
      </c>
      <c r="B51" s="15">
        <v>45925</v>
      </c>
      <c r="C51" s="3">
        <v>5</v>
      </c>
      <c r="D51" s="3">
        <v>7</v>
      </c>
      <c r="E51" s="21">
        <v>7</v>
      </c>
      <c r="F51" s="4">
        <v>8</v>
      </c>
      <c r="G51" s="4">
        <v>7</v>
      </c>
      <c r="H51" s="5">
        <v>7</v>
      </c>
      <c r="I51" s="5">
        <v>7</v>
      </c>
    </row>
    <row r="52" spans="1:9" x14ac:dyDescent="0.25">
      <c r="A52" s="14" t="s">
        <v>56</v>
      </c>
      <c r="B52" s="15">
        <v>45928</v>
      </c>
      <c r="C52" s="3">
        <v>4</v>
      </c>
      <c r="D52" s="3">
        <v>5</v>
      </c>
      <c r="E52" s="7">
        <v>5</v>
      </c>
      <c r="F52" s="4">
        <v>2</v>
      </c>
      <c r="G52" s="4">
        <v>2</v>
      </c>
      <c r="H52" s="5">
        <v>5</v>
      </c>
      <c r="I52" s="5">
        <v>5</v>
      </c>
    </row>
    <row r="53" spans="1:9" x14ac:dyDescent="0.25">
      <c r="A53" s="14" t="s">
        <v>31</v>
      </c>
      <c r="B53" s="15">
        <v>45930</v>
      </c>
      <c r="C53" s="3">
        <v>5</v>
      </c>
      <c r="D53" s="3">
        <v>7</v>
      </c>
      <c r="E53" s="21">
        <v>7</v>
      </c>
      <c r="F53" s="4">
        <v>8</v>
      </c>
      <c r="G53" s="4">
        <v>7</v>
      </c>
      <c r="H53" s="5">
        <v>7</v>
      </c>
      <c r="I53" s="5">
        <v>7</v>
      </c>
    </row>
    <row r="54" spans="1:9" x14ac:dyDescent="0.25">
      <c r="A54" s="14" t="s">
        <v>31</v>
      </c>
      <c r="B54" s="15">
        <v>45952</v>
      </c>
      <c r="C54" s="3">
        <v>5</v>
      </c>
      <c r="D54" s="3">
        <v>7</v>
      </c>
      <c r="E54" s="21">
        <v>7</v>
      </c>
      <c r="F54" s="4">
        <v>8</v>
      </c>
      <c r="G54" s="4">
        <v>7</v>
      </c>
      <c r="H54" s="5">
        <v>7</v>
      </c>
      <c r="I54" s="5">
        <v>7</v>
      </c>
    </row>
    <row r="55" spans="1:9" x14ac:dyDescent="0.25">
      <c r="A55" s="8" t="s">
        <v>28</v>
      </c>
      <c r="B55" s="6">
        <v>45968</v>
      </c>
      <c r="C55" s="3">
        <v>3</v>
      </c>
      <c r="D55" s="3">
        <v>6</v>
      </c>
      <c r="E55" s="7">
        <v>6</v>
      </c>
      <c r="F55" s="4">
        <v>8</v>
      </c>
      <c r="G55" s="4">
        <v>10</v>
      </c>
      <c r="H55" s="5">
        <v>7</v>
      </c>
      <c r="I55" s="5">
        <v>8</v>
      </c>
    </row>
    <row r="56" spans="1:9" x14ac:dyDescent="0.25">
      <c r="A56" s="14" t="s">
        <v>3</v>
      </c>
      <c r="B56" s="15">
        <v>45969</v>
      </c>
      <c r="C56" s="3">
        <v>5</v>
      </c>
      <c r="D56" s="3">
        <v>7</v>
      </c>
      <c r="E56" s="7">
        <v>7</v>
      </c>
      <c r="F56" s="4">
        <v>3</v>
      </c>
      <c r="G56" s="4">
        <v>7</v>
      </c>
      <c r="H56" s="5">
        <v>7</v>
      </c>
      <c r="I56" s="5">
        <v>9</v>
      </c>
    </row>
    <row r="57" spans="1:9" x14ac:dyDescent="0.25">
      <c r="A57" s="14" t="s">
        <v>57</v>
      </c>
      <c r="B57" s="15">
        <v>45975</v>
      </c>
      <c r="C57" s="3">
        <v>7</v>
      </c>
      <c r="D57" s="3">
        <v>7</v>
      </c>
      <c r="E57" s="7">
        <v>5</v>
      </c>
      <c r="F57" s="4">
        <v>7</v>
      </c>
      <c r="G57" s="4">
        <v>8</v>
      </c>
      <c r="H57" s="5">
        <v>5</v>
      </c>
      <c r="I57" s="5">
        <v>4</v>
      </c>
    </row>
    <row r="58" spans="1:9" x14ac:dyDescent="0.25">
      <c r="A58" s="8" t="s">
        <v>31</v>
      </c>
      <c r="B58" s="6">
        <v>46003</v>
      </c>
      <c r="C58" s="3">
        <v>5</v>
      </c>
      <c r="D58" s="3">
        <v>7</v>
      </c>
      <c r="E58" s="21">
        <v>7</v>
      </c>
      <c r="F58" s="4">
        <v>8</v>
      </c>
      <c r="G58" s="4">
        <v>7</v>
      </c>
      <c r="H58" s="5">
        <v>7</v>
      </c>
      <c r="I58" s="5">
        <v>7</v>
      </c>
    </row>
    <row r="59" spans="1:9" x14ac:dyDescent="0.25">
      <c r="A59" s="14" t="s">
        <v>3</v>
      </c>
      <c r="B59" s="15">
        <v>46004</v>
      </c>
      <c r="C59" s="3">
        <v>5</v>
      </c>
      <c r="D59" s="3">
        <v>7</v>
      </c>
      <c r="E59" s="7">
        <v>7</v>
      </c>
      <c r="F59" s="4">
        <v>3</v>
      </c>
      <c r="G59" s="4">
        <v>7</v>
      </c>
      <c r="H59" s="5">
        <v>7</v>
      </c>
      <c r="I59" s="5">
        <v>9</v>
      </c>
    </row>
    <row r="60" spans="1:9" x14ac:dyDescent="0.25">
      <c r="A60" s="8" t="s">
        <v>30</v>
      </c>
      <c r="B60" s="6">
        <v>46010</v>
      </c>
      <c r="C60" s="3">
        <v>6</v>
      </c>
      <c r="D60" s="3">
        <v>7</v>
      </c>
      <c r="E60" s="7">
        <v>7</v>
      </c>
      <c r="F60" s="4">
        <v>8</v>
      </c>
      <c r="G60" s="4">
        <v>7</v>
      </c>
      <c r="H60" s="5">
        <v>7</v>
      </c>
      <c r="I60" s="5">
        <v>7</v>
      </c>
    </row>
    <row r="61" spans="1:9" x14ac:dyDescent="0.25">
      <c r="A61" s="14" t="s">
        <v>28</v>
      </c>
      <c r="B61" s="15">
        <v>46011</v>
      </c>
      <c r="C61" s="3">
        <v>3</v>
      </c>
      <c r="D61" s="3">
        <v>6</v>
      </c>
      <c r="E61" s="7">
        <v>6</v>
      </c>
      <c r="F61" s="4">
        <v>8</v>
      </c>
      <c r="G61" s="4">
        <v>10</v>
      </c>
      <c r="H61" s="5">
        <v>7</v>
      </c>
      <c r="I61" s="5">
        <v>8</v>
      </c>
    </row>
    <row r="62" spans="1:9" x14ac:dyDescent="0.25">
      <c r="A62" s="8" t="s">
        <v>28</v>
      </c>
      <c r="B62" s="6">
        <v>46014</v>
      </c>
      <c r="C62" s="3">
        <v>3</v>
      </c>
      <c r="D62" s="3">
        <v>6</v>
      </c>
      <c r="E62" s="7">
        <v>6</v>
      </c>
      <c r="F62" s="4">
        <v>8</v>
      </c>
      <c r="G62" s="4">
        <v>10</v>
      </c>
      <c r="H62" s="5">
        <v>7</v>
      </c>
      <c r="I62" s="5">
        <v>8</v>
      </c>
    </row>
    <row r="63" spans="1:9" x14ac:dyDescent="0.25">
      <c r="A63" s="14" t="s">
        <v>3</v>
      </c>
      <c r="B63" s="15">
        <v>46017</v>
      </c>
      <c r="C63" s="3">
        <v>5</v>
      </c>
      <c r="D63" s="3">
        <v>7</v>
      </c>
      <c r="E63" s="7">
        <v>7</v>
      </c>
      <c r="F63" s="4">
        <v>3</v>
      </c>
      <c r="G63" s="4">
        <v>7</v>
      </c>
      <c r="H63" s="5">
        <v>7</v>
      </c>
      <c r="I63" s="5">
        <v>9</v>
      </c>
    </row>
    <row r="64" spans="1:9" x14ac:dyDescent="0.25">
      <c r="A64" s="14" t="s">
        <v>150</v>
      </c>
      <c r="B64" s="15">
        <v>46025</v>
      </c>
      <c r="C64" s="3">
        <v>5</v>
      </c>
      <c r="D64" s="16">
        <v>7</v>
      </c>
      <c r="E64" s="21">
        <v>7</v>
      </c>
      <c r="F64" s="17">
        <v>4</v>
      </c>
      <c r="G64" s="17">
        <v>4</v>
      </c>
      <c r="H64" s="18">
        <v>5</v>
      </c>
      <c r="I64" s="18">
        <v>5</v>
      </c>
    </row>
    <row r="65" spans="1:9" x14ac:dyDescent="0.25">
      <c r="A65" s="8" t="s">
        <v>28</v>
      </c>
      <c r="B65" s="6">
        <v>46031</v>
      </c>
      <c r="C65" s="3">
        <v>3</v>
      </c>
      <c r="D65" s="3">
        <v>5</v>
      </c>
      <c r="E65" s="7">
        <v>7</v>
      </c>
      <c r="F65" s="4">
        <v>8</v>
      </c>
      <c r="G65" s="4">
        <v>10</v>
      </c>
      <c r="H65" s="5">
        <v>7</v>
      </c>
      <c r="I65" s="5">
        <v>8</v>
      </c>
    </row>
    <row r="66" spans="1:9" x14ac:dyDescent="0.25">
      <c r="A66" s="14" t="s">
        <v>3</v>
      </c>
      <c r="B66" s="15">
        <v>46032</v>
      </c>
      <c r="C66" s="3">
        <v>5</v>
      </c>
      <c r="D66" s="3">
        <v>7</v>
      </c>
      <c r="E66" s="7">
        <v>7</v>
      </c>
      <c r="F66" s="4">
        <v>3</v>
      </c>
      <c r="G66" s="4">
        <v>7</v>
      </c>
      <c r="H66" s="5">
        <v>7</v>
      </c>
      <c r="I66" s="5">
        <v>9</v>
      </c>
    </row>
    <row r="67" spans="1:9" x14ac:dyDescent="0.25">
      <c r="A67" s="8" t="s">
        <v>28</v>
      </c>
      <c r="B67" s="6">
        <v>46038</v>
      </c>
      <c r="C67" s="3">
        <v>3</v>
      </c>
      <c r="D67" s="3">
        <v>5</v>
      </c>
      <c r="E67" s="7">
        <v>7</v>
      </c>
      <c r="F67" s="4">
        <v>8</v>
      </c>
      <c r="G67" s="4">
        <v>10</v>
      </c>
      <c r="H67" s="5">
        <v>7</v>
      </c>
      <c r="I67" s="5">
        <v>8</v>
      </c>
    </row>
    <row r="68" spans="1:9" x14ac:dyDescent="0.25">
      <c r="A68" s="14" t="s">
        <v>28</v>
      </c>
      <c r="B68" s="15">
        <v>46041</v>
      </c>
      <c r="C68" s="3">
        <v>3</v>
      </c>
      <c r="D68" s="3">
        <v>5</v>
      </c>
      <c r="E68" s="7">
        <v>7</v>
      </c>
      <c r="F68" s="4">
        <v>8</v>
      </c>
      <c r="G68" s="4">
        <v>10</v>
      </c>
      <c r="H68" s="5">
        <v>7</v>
      </c>
      <c r="I68" s="5">
        <v>8</v>
      </c>
    </row>
    <row r="69" spans="1:9" x14ac:dyDescent="0.25">
      <c r="A69" s="14" t="s">
        <v>31</v>
      </c>
      <c r="B69" s="15">
        <v>46058</v>
      </c>
      <c r="C69" s="3">
        <v>5</v>
      </c>
      <c r="D69" s="3">
        <v>7</v>
      </c>
      <c r="E69" s="21">
        <v>7</v>
      </c>
      <c r="F69" s="4">
        <v>8</v>
      </c>
      <c r="G69" s="4">
        <v>7</v>
      </c>
      <c r="H69" s="5">
        <v>7</v>
      </c>
      <c r="I69" s="5">
        <v>7</v>
      </c>
    </row>
    <row r="70" spans="1:9" x14ac:dyDescent="0.25">
      <c r="A70" s="8" t="s">
        <v>28</v>
      </c>
      <c r="B70" s="6">
        <v>46063</v>
      </c>
      <c r="C70" s="3">
        <v>3</v>
      </c>
      <c r="D70" s="3">
        <v>5</v>
      </c>
      <c r="E70" s="7">
        <v>7</v>
      </c>
      <c r="F70" s="4">
        <v>8</v>
      </c>
      <c r="G70" s="4">
        <v>10</v>
      </c>
      <c r="H70" s="5">
        <v>7</v>
      </c>
      <c r="I70" s="5">
        <v>8</v>
      </c>
    </row>
    <row r="71" spans="1:9" x14ac:dyDescent="0.25">
      <c r="A71" s="14" t="s">
        <v>31</v>
      </c>
      <c r="B71" s="15">
        <v>46064</v>
      </c>
      <c r="C71" s="3">
        <v>5</v>
      </c>
      <c r="D71" s="3">
        <v>7</v>
      </c>
      <c r="E71" s="21">
        <v>7</v>
      </c>
      <c r="F71" s="4">
        <v>8</v>
      </c>
      <c r="G71" s="4">
        <v>7</v>
      </c>
      <c r="H71" s="5">
        <v>7</v>
      </c>
      <c r="I71" s="5">
        <v>7</v>
      </c>
    </row>
    <row r="72" spans="1:9" x14ac:dyDescent="0.25">
      <c r="A72" s="14" t="s">
        <v>31</v>
      </c>
      <c r="B72" s="15">
        <v>46064</v>
      </c>
      <c r="C72" s="3">
        <v>5</v>
      </c>
      <c r="D72" s="3">
        <v>7</v>
      </c>
      <c r="E72" s="7">
        <v>7</v>
      </c>
      <c r="F72" s="4">
        <v>8</v>
      </c>
      <c r="G72" s="4">
        <v>7</v>
      </c>
      <c r="H72" s="5">
        <v>7</v>
      </c>
      <c r="I72" s="5">
        <v>7</v>
      </c>
    </row>
    <row r="73" spans="1:9" x14ac:dyDescent="0.25">
      <c r="A73" s="14" t="s">
        <v>3</v>
      </c>
      <c r="B73" s="15">
        <v>46066</v>
      </c>
      <c r="C73" s="3">
        <v>5</v>
      </c>
      <c r="D73" s="3">
        <v>7</v>
      </c>
      <c r="E73" s="7">
        <v>7</v>
      </c>
      <c r="F73" s="4">
        <v>3</v>
      </c>
      <c r="G73" s="4">
        <v>7</v>
      </c>
      <c r="H73" s="5">
        <v>7</v>
      </c>
      <c r="I73" s="5">
        <v>9</v>
      </c>
    </row>
    <row r="74" spans="1:9" x14ac:dyDescent="0.25">
      <c r="A74" s="14" t="s">
        <v>28</v>
      </c>
      <c r="B74" s="15">
        <v>46071</v>
      </c>
      <c r="C74" s="3">
        <v>6</v>
      </c>
      <c r="D74" s="3">
        <v>5</v>
      </c>
      <c r="E74" s="7">
        <v>7</v>
      </c>
      <c r="F74" s="4">
        <v>8</v>
      </c>
      <c r="G74" s="4">
        <v>10</v>
      </c>
      <c r="H74" s="5">
        <v>7</v>
      </c>
      <c r="I74" s="5">
        <v>8</v>
      </c>
    </row>
    <row r="75" spans="1:9" x14ac:dyDescent="0.25">
      <c r="A75" s="14" t="s">
        <v>3</v>
      </c>
      <c r="B75" s="15">
        <v>46081</v>
      </c>
      <c r="C75" s="3">
        <v>5</v>
      </c>
      <c r="D75" s="3">
        <v>7</v>
      </c>
      <c r="E75" s="7">
        <v>7</v>
      </c>
      <c r="F75" s="4">
        <v>3</v>
      </c>
      <c r="G75" s="4">
        <v>7</v>
      </c>
      <c r="H75" s="5">
        <v>7</v>
      </c>
      <c r="I75" s="5">
        <v>9</v>
      </c>
    </row>
    <row r="76" spans="1:9" x14ac:dyDescent="0.25">
      <c r="A76" s="14" t="s">
        <v>28</v>
      </c>
      <c r="B76" s="15">
        <v>46094</v>
      </c>
      <c r="C76" s="3">
        <v>6</v>
      </c>
      <c r="D76" s="3">
        <v>5</v>
      </c>
      <c r="E76" s="21">
        <v>6</v>
      </c>
      <c r="F76" s="4">
        <v>8</v>
      </c>
      <c r="G76" s="4">
        <v>10</v>
      </c>
      <c r="H76" s="5">
        <v>7</v>
      </c>
      <c r="I76" s="5">
        <v>8</v>
      </c>
    </row>
    <row r="77" spans="1:9" x14ac:dyDescent="0.25">
      <c r="A77" s="14" t="s">
        <v>30</v>
      </c>
      <c r="B77" s="6">
        <v>46105</v>
      </c>
      <c r="C77" s="3">
        <v>6</v>
      </c>
      <c r="D77" s="3">
        <v>7</v>
      </c>
      <c r="E77" s="7">
        <v>7</v>
      </c>
      <c r="F77" s="4">
        <v>8</v>
      </c>
      <c r="G77" s="4">
        <v>7</v>
      </c>
      <c r="H77" s="5">
        <v>7</v>
      </c>
      <c r="I77" s="5">
        <v>7</v>
      </c>
    </row>
    <row r="78" spans="1:9" x14ac:dyDescent="0.25">
      <c r="A78" s="14" t="s">
        <v>28</v>
      </c>
      <c r="B78" s="15">
        <v>46106</v>
      </c>
      <c r="C78" s="3">
        <v>6</v>
      </c>
      <c r="D78" s="3">
        <v>5</v>
      </c>
      <c r="E78" s="7">
        <v>6</v>
      </c>
      <c r="F78" s="4">
        <v>8</v>
      </c>
      <c r="G78" s="4">
        <v>10</v>
      </c>
      <c r="H78" s="5">
        <v>7</v>
      </c>
      <c r="I78" s="5">
        <v>8</v>
      </c>
    </row>
    <row r="79" spans="1:9" x14ac:dyDescent="0.25">
      <c r="A79" s="14" t="s">
        <v>28</v>
      </c>
      <c r="B79" s="15">
        <v>46112</v>
      </c>
      <c r="C79" s="3">
        <v>6</v>
      </c>
      <c r="D79" s="3">
        <v>5</v>
      </c>
      <c r="E79" s="7">
        <v>6</v>
      </c>
      <c r="F79" s="4">
        <v>8</v>
      </c>
      <c r="G79" s="4">
        <v>10</v>
      </c>
      <c r="H79" s="5">
        <v>7</v>
      </c>
      <c r="I79" s="5">
        <v>8</v>
      </c>
    </row>
    <row r="80" spans="1:9" x14ac:dyDescent="0.25">
      <c r="A80" s="14" t="s">
        <v>158</v>
      </c>
      <c r="B80" s="15">
        <v>46120</v>
      </c>
      <c r="C80" s="3">
        <v>4</v>
      </c>
      <c r="D80" s="3">
        <v>7</v>
      </c>
      <c r="E80" s="7">
        <v>7</v>
      </c>
      <c r="F80" s="4">
        <v>8</v>
      </c>
      <c r="G80" s="4">
        <v>6</v>
      </c>
      <c r="H80" s="5">
        <v>7</v>
      </c>
      <c r="I80" s="5">
        <v>3</v>
      </c>
    </row>
    <row r="81" spans="1:9" x14ac:dyDescent="0.25">
      <c r="A81" s="14" t="s">
        <v>158</v>
      </c>
      <c r="B81" s="15">
        <v>46121</v>
      </c>
      <c r="C81" s="3">
        <v>6</v>
      </c>
      <c r="D81" s="3">
        <v>8</v>
      </c>
      <c r="E81" s="7">
        <v>3</v>
      </c>
      <c r="F81" s="4">
        <v>8</v>
      </c>
      <c r="G81" s="4">
        <v>6</v>
      </c>
      <c r="H81" s="5">
        <v>7</v>
      </c>
      <c r="I81" s="5">
        <v>3</v>
      </c>
    </row>
    <row r="82" spans="1:9" x14ac:dyDescent="0.25">
      <c r="A82" s="14" t="s">
        <v>181</v>
      </c>
      <c r="B82" s="15">
        <v>46135</v>
      </c>
      <c r="C82" s="3">
        <v>4</v>
      </c>
      <c r="D82" s="3">
        <v>8</v>
      </c>
      <c r="E82" s="7">
        <v>8</v>
      </c>
      <c r="F82" s="4">
        <v>8</v>
      </c>
      <c r="G82" s="4">
        <v>6</v>
      </c>
      <c r="H82" s="5">
        <v>7</v>
      </c>
      <c r="I82" s="5">
        <v>3</v>
      </c>
    </row>
  </sheetData>
  <autoFilter ref="A1:I1" xr:uid="{A712B0EB-F297-6D42-B1DA-2DA48B8656FB}">
    <sortState xmlns:xlrd2="http://schemas.microsoft.com/office/spreadsheetml/2017/richdata2" ref="A2:I11">
      <sortCondition descending="1" ref="B1"/>
    </sortState>
  </autoFilter>
  <phoneticPr fontId="1" alignment="center"/>
  <conditionalFormatting sqref="H23:H82">
    <cfRule type="cellIs" dxfId="4" priority="2" operator="between">
      <formula>70</formula>
      <formula>79</formula>
    </cfRule>
    <cfRule type="cellIs" dxfId="3" priority="3" operator="between">
      <formula>80</formula>
      <formula>89</formula>
    </cfRule>
    <cfRule type="cellIs" dxfId="2" priority="4" operator="greaterThan">
      <formula>100</formula>
    </cfRule>
    <cfRule type="cellIs" dxfId="1" priority="5" operator="between">
      <formula>90</formula>
      <formula>99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6F71-FA52-4E79-B074-E57FA2E4961E}">
  <dimension ref="A2:E11"/>
  <sheetViews>
    <sheetView topLeftCell="A13" workbookViewId="0">
      <selection activeCell="C5" sqref="C5"/>
    </sheetView>
  </sheetViews>
  <sheetFormatPr defaultRowHeight="15" x14ac:dyDescent="0.25"/>
  <cols>
    <col min="1" max="1" width="14.42578125" bestFit="1" customWidth="1"/>
    <col min="2" max="2" width="16.5703125" bestFit="1" customWidth="1"/>
    <col min="4" max="4" width="14.42578125" bestFit="1" customWidth="1"/>
    <col min="5" max="5" width="12.5703125" bestFit="1" customWidth="1"/>
  </cols>
  <sheetData>
    <row r="2" spans="1:5" x14ac:dyDescent="0.25">
      <c r="A2" t="s">
        <v>84</v>
      </c>
      <c r="D2" t="s">
        <v>85</v>
      </c>
    </row>
    <row r="3" spans="1:5" x14ac:dyDescent="0.25">
      <c r="A3" s="33" t="s">
        <v>32</v>
      </c>
      <c r="B3" s="35" t="s">
        <v>41</v>
      </c>
      <c r="D3" s="33" t="s">
        <v>32</v>
      </c>
      <c r="E3" s="3" t="s">
        <v>86</v>
      </c>
    </row>
    <row r="4" spans="1:5" x14ac:dyDescent="0.25">
      <c r="A4" s="34" t="s">
        <v>53</v>
      </c>
      <c r="B4" s="36">
        <v>89</v>
      </c>
      <c r="D4" s="34" t="s">
        <v>31</v>
      </c>
      <c r="E4" s="3">
        <v>79</v>
      </c>
    </row>
    <row r="5" spans="1:5" x14ac:dyDescent="0.25">
      <c r="A5" s="34" t="s">
        <v>31</v>
      </c>
      <c r="B5" s="36">
        <v>90.3</v>
      </c>
      <c r="D5" s="34" t="s">
        <v>28</v>
      </c>
      <c r="E5" s="3">
        <v>81</v>
      </c>
    </row>
    <row r="6" spans="1:5" x14ac:dyDescent="0.25">
      <c r="A6" s="34" t="s">
        <v>30</v>
      </c>
      <c r="B6" s="36">
        <v>90.4</v>
      </c>
      <c r="D6" s="34" t="s">
        <v>3</v>
      </c>
      <c r="E6" s="3">
        <v>88</v>
      </c>
    </row>
    <row r="7" spans="1:5" x14ac:dyDescent="0.25">
      <c r="A7" s="34" t="s">
        <v>56</v>
      </c>
      <c r="B7" s="36">
        <v>91</v>
      </c>
      <c r="D7" s="34" t="s">
        <v>30</v>
      </c>
      <c r="E7" s="3">
        <v>88</v>
      </c>
    </row>
    <row r="8" spans="1:5" x14ac:dyDescent="0.25">
      <c r="A8" s="34" t="s">
        <v>28</v>
      </c>
      <c r="B8" s="36">
        <v>91.5</v>
      </c>
      <c r="D8" s="34" t="s">
        <v>53</v>
      </c>
      <c r="E8" s="3">
        <v>89</v>
      </c>
    </row>
    <row r="9" spans="1:5" x14ac:dyDescent="0.25">
      <c r="A9" s="34" t="s">
        <v>3</v>
      </c>
      <c r="B9" s="36">
        <v>92.25</v>
      </c>
      <c r="D9" s="34" t="s">
        <v>56</v>
      </c>
      <c r="E9" s="3">
        <v>91</v>
      </c>
    </row>
    <row r="10" spans="1:5" x14ac:dyDescent="0.25">
      <c r="A10" s="34" t="s">
        <v>57</v>
      </c>
      <c r="B10" s="36">
        <v>96</v>
      </c>
      <c r="D10" s="34" t="s">
        <v>57</v>
      </c>
      <c r="E10" s="3">
        <v>96</v>
      </c>
    </row>
    <row r="11" spans="1:5" x14ac:dyDescent="0.25">
      <c r="A11" s="34" t="s">
        <v>33</v>
      </c>
      <c r="B11" s="36">
        <v>91.035714285714292</v>
      </c>
      <c r="D11" s="34" t="s">
        <v>33</v>
      </c>
      <c r="E11" s="3">
        <v>79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555-FA3C-402C-8106-63A5262DC1AF}">
  <dimension ref="A1"/>
  <sheetViews>
    <sheetView showGridLines="0" view="pageBreakPreview" topLeftCell="A55" zoomScale="60" zoomScaleNormal="85" workbookViewId="0">
      <selection activeCell="C5" sqref="C5"/>
    </sheetView>
  </sheetViews>
  <sheetFormatPr defaultRowHeight="15" x14ac:dyDescent="0.25"/>
  <sheetData/>
  <pageMargins left="0.7" right="0.7" top="0.75" bottom="0.75" header="0.3" footer="0.3"/>
  <pageSetup orientation="landscape" r:id="rId1"/>
  <rowBreaks count="1" manualBreakCount="1">
    <brk id="33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5FC2-9AF5-445A-9818-46BA8439984B}">
  <dimension ref="A3:B10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6" bestFit="1" customWidth="1"/>
  </cols>
  <sheetData>
    <row r="3" spans="1:2" x14ac:dyDescent="0.25">
      <c r="A3" s="19" t="s">
        <v>2</v>
      </c>
      <c r="B3" t="s">
        <v>42</v>
      </c>
    </row>
    <row r="4" spans="1:2" x14ac:dyDescent="0.25">
      <c r="A4" t="s">
        <v>57</v>
      </c>
      <c r="B4">
        <v>1</v>
      </c>
    </row>
    <row r="5" spans="1:2" x14ac:dyDescent="0.25">
      <c r="A5" t="s">
        <v>53</v>
      </c>
      <c r="B5">
        <v>1</v>
      </c>
    </row>
    <row r="6" spans="1:2" x14ac:dyDescent="0.25">
      <c r="A6" t="s">
        <v>56</v>
      </c>
      <c r="B6">
        <v>1</v>
      </c>
    </row>
    <row r="7" spans="1:2" x14ac:dyDescent="0.25">
      <c r="A7" t="s">
        <v>28</v>
      </c>
      <c r="B7">
        <v>6</v>
      </c>
    </row>
    <row r="8" spans="1:2" x14ac:dyDescent="0.25">
      <c r="A8" t="s">
        <v>3</v>
      </c>
      <c r="B8">
        <v>8</v>
      </c>
    </row>
    <row r="9" spans="1:2" x14ac:dyDescent="0.25">
      <c r="A9" t="s">
        <v>30</v>
      </c>
      <c r="B9">
        <v>8</v>
      </c>
    </row>
    <row r="10" spans="1:2" x14ac:dyDescent="0.25">
      <c r="A10" t="s">
        <v>31</v>
      </c>
      <c r="B10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E8DE-4A14-4186-9F2D-BDEF55DE37FC}">
  <dimension ref="A3:B12"/>
  <sheetViews>
    <sheetView workbookViewId="0">
      <selection activeCell="B6" sqref="B6"/>
    </sheetView>
  </sheetViews>
  <sheetFormatPr defaultRowHeight="15" x14ac:dyDescent="0.25"/>
  <cols>
    <col min="1" max="1" width="13" bestFit="1" customWidth="1"/>
    <col min="2" max="2" width="16.140625" bestFit="1" customWidth="1"/>
    <col min="3" max="3" width="12.7109375" bestFit="1" customWidth="1"/>
    <col min="4" max="4" width="9.7109375" bestFit="1" customWidth="1"/>
    <col min="5" max="5" width="10" bestFit="1" customWidth="1"/>
    <col min="6" max="7" width="14.42578125" bestFit="1" customWidth="1"/>
    <col min="8" max="8" width="11.28515625" bestFit="1" customWidth="1"/>
    <col min="9" max="9" width="11" bestFit="1" customWidth="1"/>
    <col min="10" max="10" width="12" bestFit="1" customWidth="1"/>
  </cols>
  <sheetData>
    <row r="3" spans="1:2" x14ac:dyDescent="0.25">
      <c r="A3" s="19" t="s">
        <v>32</v>
      </c>
      <c r="B3" s="30" t="s">
        <v>41</v>
      </c>
    </row>
    <row r="4" spans="1:2" x14ac:dyDescent="0.25">
      <c r="A4" s="24" t="s">
        <v>38</v>
      </c>
      <c r="B4" s="30">
        <v>93</v>
      </c>
    </row>
    <row r="5" spans="1:2" x14ac:dyDescent="0.25">
      <c r="A5" s="24" t="s">
        <v>39</v>
      </c>
      <c r="B5" s="30">
        <v>91</v>
      </c>
    </row>
    <row r="6" spans="1:2" x14ac:dyDescent="0.25">
      <c r="A6" s="24" t="s">
        <v>40</v>
      </c>
      <c r="B6" s="30">
        <v>89.666666666666671</v>
      </c>
    </row>
    <row r="7" spans="1:2" x14ac:dyDescent="0.25">
      <c r="A7" s="24" t="s">
        <v>52</v>
      </c>
      <c r="B7" s="30">
        <v>86.25</v>
      </c>
    </row>
    <row r="8" spans="1:2" x14ac:dyDescent="0.25">
      <c r="A8" s="24" t="s">
        <v>54</v>
      </c>
      <c r="B8" s="30">
        <v>97.25</v>
      </c>
    </row>
    <row r="9" spans="1:2" x14ac:dyDescent="0.25">
      <c r="A9" s="24" t="s">
        <v>55</v>
      </c>
      <c r="B9" s="30">
        <v>88.142857142857139</v>
      </c>
    </row>
    <row r="10" spans="1:2" x14ac:dyDescent="0.25">
      <c r="A10" s="24" t="s">
        <v>73</v>
      </c>
      <c r="B10" s="30">
        <v>85</v>
      </c>
    </row>
    <row r="11" spans="1:2" x14ac:dyDescent="0.25">
      <c r="A11" s="24" t="s">
        <v>74</v>
      </c>
      <c r="B11" s="30">
        <v>98.666666666666671</v>
      </c>
    </row>
    <row r="12" spans="1:2" x14ac:dyDescent="0.25">
      <c r="A12" s="24" t="s">
        <v>33</v>
      </c>
      <c r="B12" s="30">
        <v>91.035714285714292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479A-6FD0-487D-A741-A3C9B01746D9}">
  <dimension ref="A3:B12"/>
  <sheetViews>
    <sheetView workbookViewId="0">
      <selection activeCell="A3" sqref="A3"/>
    </sheetView>
  </sheetViews>
  <sheetFormatPr defaultRowHeight="15" x14ac:dyDescent="0.25"/>
  <cols>
    <col min="1" max="1" width="13" bestFit="1" customWidth="1"/>
    <col min="2" max="2" width="13.42578125" bestFit="1" customWidth="1"/>
    <col min="3" max="3" width="11" bestFit="1" customWidth="1"/>
    <col min="4" max="4" width="9.7109375" bestFit="1" customWidth="1"/>
    <col min="5" max="5" width="10" bestFit="1" customWidth="1"/>
    <col min="6" max="7" width="14.42578125" bestFit="1" customWidth="1"/>
    <col min="8" max="8" width="11.28515625" bestFit="1" customWidth="1"/>
    <col min="9" max="9" width="9.42578125" bestFit="1" customWidth="1"/>
    <col min="10" max="10" width="11" bestFit="1" customWidth="1"/>
  </cols>
  <sheetData>
    <row r="3" spans="1:2" x14ac:dyDescent="0.25">
      <c r="A3" s="19" t="s">
        <v>32</v>
      </c>
      <c r="B3" t="s">
        <v>75</v>
      </c>
    </row>
    <row r="4" spans="1:2" x14ac:dyDescent="0.25">
      <c r="A4" s="24" t="s">
        <v>38</v>
      </c>
      <c r="B4" s="28">
        <v>21</v>
      </c>
    </row>
    <row r="5" spans="1:2" x14ac:dyDescent="0.25">
      <c r="A5" s="24" t="s">
        <v>39</v>
      </c>
      <c r="B5" s="28">
        <v>19</v>
      </c>
    </row>
    <row r="6" spans="1:2" x14ac:dyDescent="0.25">
      <c r="A6" s="24" t="s">
        <v>40</v>
      </c>
      <c r="B6" s="28">
        <v>17.666666666666668</v>
      </c>
    </row>
    <row r="7" spans="1:2" x14ac:dyDescent="0.25">
      <c r="A7" s="24" t="s">
        <v>52</v>
      </c>
      <c r="B7" s="28">
        <v>15.75</v>
      </c>
    </row>
    <row r="8" spans="1:2" x14ac:dyDescent="0.25">
      <c r="A8" s="24" t="s">
        <v>54</v>
      </c>
      <c r="B8" s="28">
        <v>26.75</v>
      </c>
    </row>
    <row r="9" spans="1:2" x14ac:dyDescent="0.25">
      <c r="A9" s="24" t="s">
        <v>55</v>
      </c>
      <c r="B9" s="28">
        <v>17.142857142857142</v>
      </c>
    </row>
    <row r="10" spans="1:2" x14ac:dyDescent="0.25">
      <c r="A10" s="24" t="s">
        <v>73</v>
      </c>
      <c r="B10" s="28">
        <v>15</v>
      </c>
    </row>
    <row r="11" spans="1:2" x14ac:dyDescent="0.25">
      <c r="A11" s="24" t="s">
        <v>74</v>
      </c>
      <c r="B11" s="28">
        <v>26.666666666666668</v>
      </c>
    </row>
    <row r="12" spans="1:2" x14ac:dyDescent="0.25">
      <c r="A12" s="24" t="s">
        <v>33</v>
      </c>
      <c r="B12" s="28">
        <v>19.785714285714285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ACD6-1FE1-4172-A150-1287D8BB7F35}">
  <dimension ref="A5:B13"/>
  <sheetViews>
    <sheetView workbookViewId="0">
      <selection activeCell="B7" sqref="B7"/>
    </sheetView>
  </sheetViews>
  <sheetFormatPr defaultRowHeight="15" x14ac:dyDescent="0.25"/>
  <cols>
    <col min="1" max="1" width="14.42578125" bestFit="1" customWidth="1"/>
    <col min="2" max="2" width="14.7109375" bestFit="1" customWidth="1"/>
  </cols>
  <sheetData>
    <row r="5" spans="1:2" x14ac:dyDescent="0.25">
      <c r="A5" s="19" t="s">
        <v>32</v>
      </c>
      <c r="B5" t="s">
        <v>76</v>
      </c>
    </row>
    <row r="6" spans="1:2" x14ac:dyDescent="0.25">
      <c r="A6" s="24" t="s">
        <v>28</v>
      </c>
      <c r="B6">
        <v>6</v>
      </c>
    </row>
    <row r="7" spans="1:2" x14ac:dyDescent="0.25">
      <c r="A7" s="24" t="s">
        <v>30</v>
      </c>
      <c r="B7">
        <v>8</v>
      </c>
    </row>
    <row r="8" spans="1:2" x14ac:dyDescent="0.25">
      <c r="A8" s="24" t="s">
        <v>31</v>
      </c>
      <c r="B8">
        <v>10</v>
      </c>
    </row>
    <row r="9" spans="1:2" x14ac:dyDescent="0.25">
      <c r="A9" s="24" t="s">
        <v>3</v>
      </c>
      <c r="B9">
        <v>8</v>
      </c>
    </row>
    <row r="10" spans="1:2" x14ac:dyDescent="0.25">
      <c r="A10" s="24" t="s">
        <v>53</v>
      </c>
      <c r="B10">
        <v>1</v>
      </c>
    </row>
    <row r="11" spans="1:2" x14ac:dyDescent="0.25">
      <c r="A11" s="24" t="s">
        <v>56</v>
      </c>
      <c r="B11">
        <v>1</v>
      </c>
    </row>
    <row r="12" spans="1:2" x14ac:dyDescent="0.25">
      <c r="A12" s="24" t="s">
        <v>57</v>
      </c>
      <c r="B12">
        <v>1</v>
      </c>
    </row>
    <row r="13" spans="1:2" x14ac:dyDescent="0.25">
      <c r="A13" s="24" t="s">
        <v>33</v>
      </c>
      <c r="B13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0CC4-905A-4F85-8250-E5158558DAC4}">
  <dimension ref="A2:H13"/>
  <sheetViews>
    <sheetView topLeftCell="A13" workbookViewId="0">
      <selection activeCell="M14" sqref="M14"/>
    </sheetView>
  </sheetViews>
  <sheetFormatPr defaultRowHeight="15" x14ac:dyDescent="0.25"/>
  <cols>
    <col min="1" max="1" width="13" bestFit="1" customWidth="1"/>
    <col min="2" max="2" width="15.28515625" bestFit="1" customWidth="1"/>
    <col min="3" max="3" width="14.7109375" bestFit="1" customWidth="1"/>
    <col min="6" max="6" width="13.42578125" bestFit="1" customWidth="1"/>
    <col min="7" max="7" width="15.5703125" bestFit="1" customWidth="1"/>
    <col min="8" max="8" width="15.28515625" bestFit="1" customWidth="1"/>
  </cols>
  <sheetData>
    <row r="2" spans="1:8" x14ac:dyDescent="0.25">
      <c r="A2" t="s">
        <v>81</v>
      </c>
      <c r="F2" t="s">
        <v>80</v>
      </c>
    </row>
    <row r="3" spans="1:8" x14ac:dyDescent="0.25">
      <c r="A3" s="19" t="s">
        <v>32</v>
      </c>
      <c r="B3" s="30" t="s">
        <v>78</v>
      </c>
      <c r="C3" s="30" t="s">
        <v>77</v>
      </c>
      <c r="F3" s="31" t="s">
        <v>32</v>
      </c>
      <c r="G3" s="29" t="s">
        <v>78</v>
      </c>
      <c r="H3" s="29" t="s">
        <v>77</v>
      </c>
    </row>
    <row r="4" spans="1:8" x14ac:dyDescent="0.25">
      <c r="A4" s="24" t="s">
        <v>38</v>
      </c>
      <c r="B4" s="30">
        <v>47</v>
      </c>
      <c r="C4" s="30">
        <v>46</v>
      </c>
      <c r="F4" s="32" t="s">
        <v>38</v>
      </c>
      <c r="G4" s="29">
        <v>46</v>
      </c>
      <c r="H4" s="29">
        <v>68</v>
      </c>
    </row>
    <row r="5" spans="1:8" x14ac:dyDescent="0.25">
      <c r="A5" s="24" t="s">
        <v>39</v>
      </c>
      <c r="B5" s="30">
        <v>45.2</v>
      </c>
      <c r="C5" s="30">
        <v>45.8</v>
      </c>
      <c r="F5" s="32" t="s">
        <v>39</v>
      </c>
      <c r="G5" s="29">
        <v>45.777777777777779</v>
      </c>
      <c r="H5" s="29">
        <v>65.444444444444443</v>
      </c>
    </row>
    <row r="6" spans="1:8" x14ac:dyDescent="0.25">
      <c r="A6" s="24" t="s">
        <v>40</v>
      </c>
      <c r="B6" s="30">
        <v>44.666666666666664</v>
      </c>
      <c r="C6" s="30">
        <v>45</v>
      </c>
      <c r="F6" s="32" t="s">
        <v>79</v>
      </c>
      <c r="G6" s="29">
        <v>42</v>
      </c>
      <c r="H6" s="29">
        <v>90</v>
      </c>
    </row>
    <row r="7" spans="1:8" x14ac:dyDescent="0.25">
      <c r="A7" s="24" t="s">
        <v>52</v>
      </c>
      <c r="B7" s="30">
        <v>41.25</v>
      </c>
      <c r="C7" s="30">
        <v>45</v>
      </c>
      <c r="F7" s="32" t="s">
        <v>40</v>
      </c>
      <c r="G7" s="29">
        <v>45.75</v>
      </c>
      <c r="H7" s="29">
        <v>56.25</v>
      </c>
    </row>
    <row r="8" spans="1:8" x14ac:dyDescent="0.25">
      <c r="A8" s="24" t="s">
        <v>54</v>
      </c>
      <c r="B8" s="30">
        <v>44.25</v>
      </c>
      <c r="C8" s="30">
        <v>53</v>
      </c>
      <c r="F8" s="32" t="s">
        <v>52</v>
      </c>
      <c r="G8" s="29">
        <v>41.25</v>
      </c>
      <c r="H8" s="29">
        <v>45</v>
      </c>
    </row>
    <row r="9" spans="1:8" x14ac:dyDescent="0.25">
      <c r="A9" s="24" t="s">
        <v>55</v>
      </c>
      <c r="B9" s="30">
        <v>43</v>
      </c>
      <c r="C9" s="30">
        <v>45.142857142857146</v>
      </c>
      <c r="F9" s="32" t="s">
        <v>54</v>
      </c>
      <c r="G9" s="29">
        <v>44.25</v>
      </c>
      <c r="H9" s="29">
        <v>53</v>
      </c>
    </row>
    <row r="10" spans="1:8" x14ac:dyDescent="0.25">
      <c r="A10" s="24" t="s">
        <v>73</v>
      </c>
      <c r="B10" s="30">
        <v>41</v>
      </c>
      <c r="C10" s="30">
        <v>44</v>
      </c>
      <c r="F10" s="32" t="s">
        <v>55</v>
      </c>
      <c r="G10" s="29">
        <v>43</v>
      </c>
      <c r="H10" s="29">
        <v>45.142857142857146</v>
      </c>
    </row>
    <row r="11" spans="1:8" x14ac:dyDescent="0.25">
      <c r="A11" s="24" t="s">
        <v>74</v>
      </c>
      <c r="B11" s="30">
        <v>48.333333333333336</v>
      </c>
      <c r="C11" s="30">
        <v>50.333333333333336</v>
      </c>
      <c r="F11" s="32" t="s">
        <v>73</v>
      </c>
      <c r="G11" s="29">
        <v>41</v>
      </c>
      <c r="H11" s="29">
        <v>44</v>
      </c>
    </row>
    <row r="12" spans="1:8" x14ac:dyDescent="0.25">
      <c r="A12" s="24" t="s">
        <v>33</v>
      </c>
      <c r="B12" s="30">
        <v>44.142857142857146</v>
      </c>
      <c r="C12" s="30">
        <v>46.892857142857146</v>
      </c>
      <c r="F12" s="32" t="s">
        <v>74</v>
      </c>
      <c r="G12" s="29">
        <v>48.333333333333336</v>
      </c>
      <c r="H12" s="29">
        <v>50.333333333333336</v>
      </c>
    </row>
    <row r="13" spans="1:8" x14ac:dyDescent="0.25">
      <c r="F13" s="32" t="s">
        <v>33</v>
      </c>
      <c r="G13" s="29">
        <v>44.514285714285712</v>
      </c>
      <c r="H13" s="29">
        <v>55.514285714285712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B299-FD32-4E3E-A43F-70014A430321}">
  <dimension ref="A1:M104"/>
  <sheetViews>
    <sheetView zoomScaleNormal="100" zoomScaleSheetLayoutView="100" workbookViewId="0">
      <selection activeCell="C5" sqref="C5"/>
    </sheetView>
  </sheetViews>
  <sheetFormatPr defaultRowHeight="15" x14ac:dyDescent="0.25"/>
  <cols>
    <col min="1" max="1" width="16.5703125" style="2" bestFit="1" customWidth="1"/>
    <col min="2" max="2" width="11.28515625" customWidth="1"/>
    <col min="3" max="3" width="14.42578125" bestFit="1" customWidth="1"/>
    <col min="4" max="4" width="18" customWidth="1"/>
    <col min="5" max="6" width="13.28515625" customWidth="1"/>
    <col min="7" max="7" width="17" style="27" bestFit="1" customWidth="1"/>
    <col min="10" max="10" width="10.5703125" bestFit="1" customWidth="1"/>
    <col min="11" max="12" width="13.42578125" bestFit="1" customWidth="1"/>
    <col min="13" max="13" width="18.140625" bestFit="1" customWidth="1"/>
  </cols>
  <sheetData>
    <row r="1" spans="1:13" x14ac:dyDescent="0.25">
      <c r="A1" t="s">
        <v>102</v>
      </c>
    </row>
    <row r="3" spans="1:13" x14ac:dyDescent="0.25">
      <c r="A3" s="9" t="s">
        <v>23</v>
      </c>
      <c r="B3" s="9" t="s">
        <v>93</v>
      </c>
      <c r="C3" s="9" t="s">
        <v>92</v>
      </c>
      <c r="D3" s="9" t="s">
        <v>94</v>
      </c>
      <c r="E3" s="10" t="s">
        <v>101</v>
      </c>
      <c r="F3" s="10" t="s">
        <v>108</v>
      </c>
      <c r="G3" s="10" t="s">
        <v>24</v>
      </c>
      <c r="H3" s="10" t="s">
        <v>82</v>
      </c>
      <c r="L3" s="33" t="s">
        <v>32</v>
      </c>
      <c r="M3" s="3" t="s">
        <v>103</v>
      </c>
    </row>
    <row r="4" spans="1:13" x14ac:dyDescent="0.25">
      <c r="A4" s="38">
        <v>46011</v>
      </c>
      <c r="B4" s="7" t="s">
        <v>105</v>
      </c>
      <c r="C4" s="4" t="s">
        <v>28</v>
      </c>
      <c r="D4" s="4" t="s">
        <v>100</v>
      </c>
      <c r="E4" s="5">
        <v>94</v>
      </c>
      <c r="F4" s="5" t="s">
        <v>107</v>
      </c>
      <c r="G4" s="5" t="s">
        <v>25</v>
      </c>
      <c r="H4" s="55"/>
      <c r="L4" s="34" t="s">
        <v>107</v>
      </c>
      <c r="M4" s="3">
        <v>3912</v>
      </c>
    </row>
    <row r="5" spans="1:13" x14ac:dyDescent="0.25">
      <c r="A5" s="38">
        <v>46010</v>
      </c>
      <c r="B5" s="7" t="s">
        <v>105</v>
      </c>
      <c r="C5" s="4" t="s">
        <v>137</v>
      </c>
      <c r="D5" s="4" t="s">
        <v>100</v>
      </c>
      <c r="E5" s="5">
        <v>104</v>
      </c>
      <c r="F5" s="5" t="s">
        <v>107</v>
      </c>
      <c r="G5" s="5" t="s">
        <v>25</v>
      </c>
      <c r="H5" s="55"/>
      <c r="L5" s="34" t="s">
        <v>106</v>
      </c>
      <c r="M5" s="3">
        <v>4842</v>
      </c>
    </row>
    <row r="6" spans="1:13" x14ac:dyDescent="0.25">
      <c r="A6" s="38">
        <v>46005</v>
      </c>
      <c r="B6" s="7" t="s">
        <v>95</v>
      </c>
      <c r="C6" s="4" t="s">
        <v>96</v>
      </c>
      <c r="D6" s="4" t="s">
        <v>99</v>
      </c>
      <c r="E6" s="5">
        <v>33</v>
      </c>
      <c r="F6" s="5" t="s">
        <v>106</v>
      </c>
      <c r="G6" s="5" t="s">
        <v>25</v>
      </c>
      <c r="H6" s="56"/>
      <c r="L6" s="34" t="s">
        <v>33</v>
      </c>
      <c r="M6" s="3">
        <v>8754</v>
      </c>
    </row>
    <row r="7" spans="1:13" x14ac:dyDescent="0.25">
      <c r="A7" s="38">
        <v>46005</v>
      </c>
      <c r="B7" s="7" t="s">
        <v>95</v>
      </c>
      <c r="C7" s="4" t="s">
        <v>96</v>
      </c>
      <c r="D7" s="4" t="s">
        <v>99</v>
      </c>
      <c r="E7" s="5">
        <v>44</v>
      </c>
      <c r="F7" s="5" t="s">
        <v>106</v>
      </c>
      <c r="G7" s="5" t="s">
        <v>25</v>
      </c>
      <c r="H7" s="56"/>
    </row>
    <row r="8" spans="1:13" x14ac:dyDescent="0.25">
      <c r="A8" s="38">
        <v>46004</v>
      </c>
      <c r="B8" s="7" t="s">
        <v>105</v>
      </c>
      <c r="C8" s="4" t="s">
        <v>3</v>
      </c>
      <c r="D8" s="4" t="s">
        <v>100</v>
      </c>
      <c r="E8" s="5">
        <v>99</v>
      </c>
      <c r="F8" s="5" t="s">
        <v>107</v>
      </c>
      <c r="G8" s="5" t="s">
        <v>25</v>
      </c>
      <c r="H8" s="55"/>
    </row>
    <row r="9" spans="1:13" x14ac:dyDescent="0.25">
      <c r="A9" s="38">
        <v>46003</v>
      </c>
      <c r="B9" s="7" t="s">
        <v>105</v>
      </c>
      <c r="C9" s="4" t="s">
        <v>134</v>
      </c>
      <c r="D9" s="4" t="s">
        <v>100</v>
      </c>
      <c r="E9" s="5">
        <v>114</v>
      </c>
      <c r="F9" s="5" t="s">
        <v>107</v>
      </c>
      <c r="G9" s="5" t="s">
        <v>25</v>
      </c>
      <c r="H9" s="55"/>
    </row>
    <row r="10" spans="1:13" x14ac:dyDescent="0.25">
      <c r="A10" s="38">
        <v>46002</v>
      </c>
      <c r="B10" s="7" t="s">
        <v>95</v>
      </c>
      <c r="C10" s="4" t="s">
        <v>96</v>
      </c>
      <c r="D10" s="4" t="s">
        <v>99</v>
      </c>
      <c r="E10" s="5">
        <v>179</v>
      </c>
      <c r="F10" s="5" t="s">
        <v>106</v>
      </c>
      <c r="G10" s="5" t="s">
        <v>25</v>
      </c>
      <c r="H10" s="3"/>
    </row>
    <row r="11" spans="1:13" x14ac:dyDescent="0.25">
      <c r="A11" s="38">
        <v>46001</v>
      </c>
      <c r="B11" s="7" t="s">
        <v>95</v>
      </c>
      <c r="C11" s="4" t="s">
        <v>96</v>
      </c>
      <c r="D11" s="4" t="s">
        <v>99</v>
      </c>
      <c r="E11" s="5">
        <v>50</v>
      </c>
      <c r="F11" s="5" t="s">
        <v>106</v>
      </c>
      <c r="G11" s="5" t="s">
        <v>25</v>
      </c>
      <c r="H11" s="3"/>
    </row>
    <row r="12" spans="1:13" x14ac:dyDescent="0.25">
      <c r="A12" s="38">
        <v>46001</v>
      </c>
      <c r="B12" s="7" t="s">
        <v>95</v>
      </c>
      <c r="C12" s="4" t="s">
        <v>96</v>
      </c>
      <c r="D12" s="4" t="s">
        <v>99</v>
      </c>
      <c r="E12" s="5">
        <v>125</v>
      </c>
      <c r="F12" s="5" t="s">
        <v>106</v>
      </c>
      <c r="G12" s="5" t="s">
        <v>25</v>
      </c>
      <c r="H12" s="3"/>
    </row>
    <row r="13" spans="1:13" x14ac:dyDescent="0.25">
      <c r="A13" s="38">
        <v>46000</v>
      </c>
      <c r="B13" s="7" t="s">
        <v>95</v>
      </c>
      <c r="C13" s="4" t="s">
        <v>96</v>
      </c>
      <c r="D13" s="4" t="s">
        <v>99</v>
      </c>
      <c r="E13" s="5">
        <v>14</v>
      </c>
      <c r="F13" s="5" t="s">
        <v>106</v>
      </c>
      <c r="G13" s="5" t="s">
        <v>25</v>
      </c>
      <c r="H13" s="3"/>
    </row>
    <row r="14" spans="1:13" x14ac:dyDescent="0.25">
      <c r="A14" s="38">
        <v>46000</v>
      </c>
      <c r="B14" s="7" t="s">
        <v>95</v>
      </c>
      <c r="C14" s="4" t="s">
        <v>96</v>
      </c>
      <c r="D14" s="4" t="s">
        <v>99</v>
      </c>
      <c r="E14" s="5">
        <v>32</v>
      </c>
      <c r="F14" s="5" t="s">
        <v>106</v>
      </c>
      <c r="G14" s="5" t="s">
        <v>25</v>
      </c>
      <c r="H14" s="3"/>
    </row>
    <row r="15" spans="1:13" x14ac:dyDescent="0.25">
      <c r="A15" s="38">
        <v>45995</v>
      </c>
      <c r="B15" s="7" t="s">
        <v>95</v>
      </c>
      <c r="C15" s="4" t="s">
        <v>96</v>
      </c>
      <c r="D15" s="4" t="s">
        <v>99</v>
      </c>
      <c r="E15" s="5">
        <v>24</v>
      </c>
      <c r="F15" s="5" t="s">
        <v>106</v>
      </c>
      <c r="G15" s="5" t="s">
        <v>25</v>
      </c>
      <c r="H15" s="3"/>
    </row>
    <row r="16" spans="1:13" x14ac:dyDescent="0.25">
      <c r="A16" s="38">
        <v>45994</v>
      </c>
      <c r="B16" s="7" t="s">
        <v>98</v>
      </c>
      <c r="C16" s="4" t="s">
        <v>97</v>
      </c>
      <c r="D16" s="4" t="s">
        <v>100</v>
      </c>
      <c r="E16" s="5">
        <v>158</v>
      </c>
      <c r="F16" s="5" t="s">
        <v>106</v>
      </c>
      <c r="G16" s="5" t="s">
        <v>25</v>
      </c>
      <c r="H16" s="3"/>
    </row>
    <row r="17" spans="1:8" x14ac:dyDescent="0.25">
      <c r="A17" s="38">
        <v>45982</v>
      </c>
      <c r="B17" s="7" t="s">
        <v>98</v>
      </c>
      <c r="C17" s="4" t="s">
        <v>97</v>
      </c>
      <c r="D17" s="4" t="s">
        <v>100</v>
      </c>
      <c r="E17" s="5">
        <v>159</v>
      </c>
      <c r="F17" s="5" t="s">
        <v>106</v>
      </c>
      <c r="G17" s="5" t="s">
        <v>25</v>
      </c>
      <c r="H17" s="3"/>
    </row>
    <row r="18" spans="1:8" x14ac:dyDescent="0.25">
      <c r="A18" s="38">
        <v>45980</v>
      </c>
      <c r="B18" s="7" t="s">
        <v>98</v>
      </c>
      <c r="C18" s="4" t="s">
        <v>97</v>
      </c>
      <c r="D18" s="4" t="s">
        <v>100</v>
      </c>
      <c r="E18" s="5">
        <v>203</v>
      </c>
      <c r="F18" s="5" t="s">
        <v>106</v>
      </c>
      <c r="G18" s="5" t="s">
        <v>25</v>
      </c>
      <c r="H18" s="3"/>
    </row>
    <row r="19" spans="1:8" x14ac:dyDescent="0.25">
      <c r="A19" s="38">
        <v>45978</v>
      </c>
      <c r="B19" s="7" t="s">
        <v>98</v>
      </c>
      <c r="C19" s="4" t="s">
        <v>97</v>
      </c>
      <c r="D19" s="4" t="s">
        <v>100</v>
      </c>
      <c r="E19" s="5">
        <v>160</v>
      </c>
      <c r="F19" s="5" t="s">
        <v>106</v>
      </c>
      <c r="G19" s="5" t="s">
        <v>25</v>
      </c>
      <c r="H19" s="3"/>
    </row>
    <row r="20" spans="1:8" x14ac:dyDescent="0.25">
      <c r="A20" s="38">
        <v>45975</v>
      </c>
      <c r="B20" s="7" t="s">
        <v>105</v>
      </c>
      <c r="C20" s="4" t="s">
        <v>104</v>
      </c>
      <c r="D20" s="4" t="s">
        <v>100</v>
      </c>
      <c r="E20" s="37">
        <v>96</v>
      </c>
      <c r="F20" s="5" t="s">
        <v>107</v>
      </c>
      <c r="G20" s="5" t="s">
        <v>25</v>
      </c>
      <c r="H20" s="27"/>
    </row>
    <row r="21" spans="1:8" x14ac:dyDescent="0.25">
      <c r="A21" s="38">
        <v>45969</v>
      </c>
      <c r="B21" s="7" t="s">
        <v>105</v>
      </c>
      <c r="C21" s="4" t="s">
        <v>104</v>
      </c>
      <c r="D21" s="4" t="s">
        <v>100</v>
      </c>
      <c r="E21" s="37">
        <v>101</v>
      </c>
      <c r="F21" s="5" t="s">
        <v>107</v>
      </c>
      <c r="G21" s="5" t="s">
        <v>25</v>
      </c>
      <c r="H21" s="27"/>
    </row>
    <row r="22" spans="1:8" x14ac:dyDescent="0.25">
      <c r="A22" s="38">
        <v>45968</v>
      </c>
      <c r="B22" s="7" t="s">
        <v>105</v>
      </c>
      <c r="C22" s="4" t="s">
        <v>104</v>
      </c>
      <c r="D22" s="4" t="s">
        <v>100</v>
      </c>
      <c r="E22" s="37">
        <v>99</v>
      </c>
      <c r="F22" s="5" t="s">
        <v>107</v>
      </c>
      <c r="G22" s="5" t="s">
        <v>25</v>
      </c>
      <c r="H22" s="27"/>
    </row>
    <row r="23" spans="1:8" x14ac:dyDescent="0.25">
      <c r="A23" s="38">
        <v>45952</v>
      </c>
      <c r="B23" s="7" t="s">
        <v>105</v>
      </c>
      <c r="C23" s="4" t="s">
        <v>104</v>
      </c>
      <c r="D23" s="4" t="s">
        <v>100</v>
      </c>
      <c r="E23" s="37">
        <v>85</v>
      </c>
      <c r="F23" s="5" t="s">
        <v>107</v>
      </c>
      <c r="G23" s="5" t="s">
        <v>25</v>
      </c>
      <c r="H23" s="27"/>
    </row>
    <row r="24" spans="1:8" x14ac:dyDescent="0.25">
      <c r="A24" s="38">
        <v>45930</v>
      </c>
      <c r="B24" s="7" t="s">
        <v>105</v>
      </c>
      <c r="C24" s="4" t="s">
        <v>104</v>
      </c>
      <c r="D24" s="4" t="s">
        <v>100</v>
      </c>
      <c r="E24" s="37">
        <v>89</v>
      </c>
      <c r="F24" s="5" t="s">
        <v>107</v>
      </c>
      <c r="G24" s="5" t="s">
        <v>25</v>
      </c>
      <c r="H24" s="27"/>
    </row>
    <row r="25" spans="1:8" x14ac:dyDescent="0.25">
      <c r="A25" s="38">
        <v>45928</v>
      </c>
      <c r="B25" s="7" t="s">
        <v>105</v>
      </c>
      <c r="C25" s="4" t="s">
        <v>104</v>
      </c>
      <c r="D25" s="4" t="s">
        <v>100</v>
      </c>
      <c r="E25" s="37">
        <v>91</v>
      </c>
      <c r="F25" s="5" t="s">
        <v>107</v>
      </c>
      <c r="G25" s="5" t="s">
        <v>25</v>
      </c>
      <c r="H25" s="27"/>
    </row>
    <row r="26" spans="1:8" x14ac:dyDescent="0.25">
      <c r="A26" s="38">
        <v>45925</v>
      </c>
      <c r="B26" s="7" t="s">
        <v>105</v>
      </c>
      <c r="C26" s="4" t="s">
        <v>104</v>
      </c>
      <c r="D26" s="4" t="s">
        <v>100</v>
      </c>
      <c r="E26" s="37">
        <v>79</v>
      </c>
      <c r="F26" s="5" t="s">
        <v>107</v>
      </c>
      <c r="G26" s="5" t="s">
        <v>25</v>
      </c>
      <c r="H26" s="27"/>
    </row>
    <row r="27" spans="1:8" x14ac:dyDescent="0.25">
      <c r="A27" s="38">
        <v>45924</v>
      </c>
      <c r="B27" s="7" t="s">
        <v>98</v>
      </c>
      <c r="C27" s="4" t="s">
        <v>97</v>
      </c>
      <c r="D27" s="4" t="s">
        <v>100</v>
      </c>
      <c r="E27" s="37">
        <v>160</v>
      </c>
      <c r="F27" s="5" t="s">
        <v>106</v>
      </c>
      <c r="G27" s="5" t="s">
        <v>25</v>
      </c>
    </row>
    <row r="28" spans="1:8" x14ac:dyDescent="0.25">
      <c r="A28" s="38">
        <v>45917</v>
      </c>
      <c r="B28" s="7" t="s">
        <v>105</v>
      </c>
      <c r="C28" s="4" t="s">
        <v>104</v>
      </c>
      <c r="D28" s="4" t="s">
        <v>100</v>
      </c>
      <c r="E28" s="37">
        <v>94</v>
      </c>
      <c r="F28" s="5" t="s">
        <v>107</v>
      </c>
      <c r="G28" s="5" t="s">
        <v>25</v>
      </c>
      <c r="H28" s="27"/>
    </row>
    <row r="29" spans="1:8" x14ac:dyDescent="0.25">
      <c r="A29" s="38">
        <v>45910</v>
      </c>
      <c r="B29" s="7" t="s">
        <v>105</v>
      </c>
      <c r="C29" s="4" t="s">
        <v>104</v>
      </c>
      <c r="D29" s="4" t="s">
        <v>100</v>
      </c>
      <c r="E29" s="37">
        <v>87</v>
      </c>
      <c r="F29" s="5" t="s">
        <v>107</v>
      </c>
      <c r="G29" s="5" t="s">
        <v>25</v>
      </c>
      <c r="H29" s="27"/>
    </row>
    <row r="30" spans="1:8" x14ac:dyDescent="0.25">
      <c r="A30" s="38">
        <v>45905</v>
      </c>
      <c r="B30" s="7" t="s">
        <v>105</v>
      </c>
      <c r="C30" s="4" t="s">
        <v>104</v>
      </c>
      <c r="D30" s="4" t="s">
        <v>100</v>
      </c>
      <c r="E30" s="37">
        <v>89</v>
      </c>
      <c r="F30" s="5" t="s">
        <v>107</v>
      </c>
      <c r="G30" s="5" t="s">
        <v>25</v>
      </c>
      <c r="H30" s="27"/>
    </row>
    <row r="31" spans="1:8" x14ac:dyDescent="0.25">
      <c r="A31" s="38">
        <v>45904</v>
      </c>
      <c r="B31" s="7" t="s">
        <v>105</v>
      </c>
      <c r="C31" s="4" t="s">
        <v>104</v>
      </c>
      <c r="D31" s="4" t="s">
        <v>100</v>
      </c>
      <c r="E31" s="37">
        <v>88</v>
      </c>
      <c r="F31" s="5" t="s">
        <v>107</v>
      </c>
      <c r="G31" s="5" t="s">
        <v>25</v>
      </c>
      <c r="H31" s="27"/>
    </row>
    <row r="32" spans="1:8" x14ac:dyDescent="0.25">
      <c r="A32" s="38">
        <v>45895</v>
      </c>
      <c r="B32" s="7" t="s">
        <v>105</v>
      </c>
      <c r="C32" s="4" t="s">
        <v>104</v>
      </c>
      <c r="D32" s="4" t="s">
        <v>100</v>
      </c>
      <c r="E32" s="37">
        <v>87</v>
      </c>
      <c r="F32" s="5" t="s">
        <v>107</v>
      </c>
      <c r="G32" s="5" t="s">
        <v>25</v>
      </c>
      <c r="H32" s="27"/>
    </row>
    <row r="33" spans="1:8" x14ac:dyDescent="0.25">
      <c r="A33" s="38">
        <v>45890</v>
      </c>
      <c r="B33" s="7" t="s">
        <v>105</v>
      </c>
      <c r="C33" s="4" t="s">
        <v>104</v>
      </c>
      <c r="D33" s="4" t="s">
        <v>100</v>
      </c>
      <c r="E33" s="37">
        <v>128</v>
      </c>
      <c r="F33" s="5" t="s">
        <v>107</v>
      </c>
      <c r="G33" s="5" t="s">
        <v>25</v>
      </c>
      <c r="H33" s="27"/>
    </row>
    <row r="34" spans="1:8" x14ac:dyDescent="0.25">
      <c r="A34" s="38">
        <v>45888</v>
      </c>
      <c r="B34" s="7" t="s">
        <v>105</v>
      </c>
      <c r="C34" s="4" t="s">
        <v>104</v>
      </c>
      <c r="D34" s="4" t="s">
        <v>100</v>
      </c>
      <c r="E34" s="37">
        <v>84</v>
      </c>
      <c r="F34" s="5" t="s">
        <v>107</v>
      </c>
      <c r="G34" s="5" t="s">
        <v>25</v>
      </c>
      <c r="H34" s="27"/>
    </row>
    <row r="35" spans="1:8" x14ac:dyDescent="0.25">
      <c r="A35" s="38">
        <v>45882</v>
      </c>
      <c r="B35" s="7" t="s">
        <v>105</v>
      </c>
      <c r="C35" s="4" t="s">
        <v>104</v>
      </c>
      <c r="D35" s="4" t="s">
        <v>100</v>
      </c>
      <c r="E35" s="37">
        <v>90</v>
      </c>
      <c r="F35" s="5" t="s">
        <v>107</v>
      </c>
      <c r="G35" s="5" t="s">
        <v>25</v>
      </c>
      <c r="H35" s="27"/>
    </row>
    <row r="36" spans="1:8" x14ac:dyDescent="0.25">
      <c r="A36" s="38">
        <v>45881</v>
      </c>
      <c r="B36" s="7" t="s">
        <v>98</v>
      </c>
      <c r="C36" s="4" t="s">
        <v>97</v>
      </c>
      <c r="D36" s="4" t="s">
        <v>100</v>
      </c>
      <c r="E36" s="37">
        <v>69</v>
      </c>
      <c r="F36" s="5" t="s">
        <v>106</v>
      </c>
      <c r="G36" s="5" t="s">
        <v>25</v>
      </c>
    </row>
    <row r="37" spans="1:8" x14ac:dyDescent="0.25">
      <c r="A37" s="38">
        <v>45863</v>
      </c>
      <c r="B37" s="7" t="s">
        <v>105</v>
      </c>
      <c r="C37" s="4" t="s">
        <v>104</v>
      </c>
      <c r="D37" s="4" t="s">
        <v>100</v>
      </c>
      <c r="E37" s="37">
        <v>81</v>
      </c>
      <c r="F37" s="5" t="s">
        <v>107</v>
      </c>
      <c r="G37" s="5" t="s">
        <v>25</v>
      </c>
      <c r="H37" s="27"/>
    </row>
    <row r="38" spans="1:8" x14ac:dyDescent="0.25">
      <c r="A38" s="38">
        <v>45862</v>
      </c>
      <c r="B38" s="7" t="s">
        <v>105</v>
      </c>
      <c r="C38" s="4" t="s">
        <v>104</v>
      </c>
      <c r="D38" s="4" t="s">
        <v>100</v>
      </c>
      <c r="E38" s="37">
        <v>83</v>
      </c>
      <c r="F38" s="5" t="s">
        <v>107</v>
      </c>
      <c r="G38" s="5" t="s">
        <v>25</v>
      </c>
      <c r="H38" s="27"/>
    </row>
    <row r="39" spans="1:8" x14ac:dyDescent="0.25">
      <c r="A39" s="38">
        <v>45859</v>
      </c>
      <c r="B39" s="7" t="s">
        <v>105</v>
      </c>
      <c r="C39" s="4" t="s">
        <v>104</v>
      </c>
      <c r="D39" s="4" t="s">
        <v>100</v>
      </c>
      <c r="E39" s="37">
        <v>93</v>
      </c>
      <c r="F39" s="5" t="s">
        <v>107</v>
      </c>
      <c r="G39" s="5" t="s">
        <v>25</v>
      </c>
      <c r="H39" s="27"/>
    </row>
    <row r="40" spans="1:8" x14ac:dyDescent="0.25">
      <c r="A40" s="38">
        <v>45856</v>
      </c>
      <c r="B40" s="7" t="s">
        <v>98</v>
      </c>
      <c r="C40" s="4" t="s">
        <v>97</v>
      </c>
      <c r="D40" s="4" t="s">
        <v>100</v>
      </c>
      <c r="E40" s="37">
        <v>76</v>
      </c>
      <c r="F40" s="5" t="s">
        <v>106</v>
      </c>
      <c r="G40" s="5" t="s">
        <v>25</v>
      </c>
    </row>
    <row r="41" spans="1:8" x14ac:dyDescent="0.25">
      <c r="A41" s="38">
        <v>45853</v>
      </c>
      <c r="B41" s="7" t="s">
        <v>105</v>
      </c>
      <c r="C41" s="4" t="s">
        <v>104</v>
      </c>
      <c r="D41" s="4" t="s">
        <v>100</v>
      </c>
      <c r="E41" s="37">
        <v>88</v>
      </c>
      <c r="F41" s="5" t="s">
        <v>107</v>
      </c>
      <c r="G41" s="5" t="s">
        <v>25</v>
      </c>
      <c r="H41" s="27"/>
    </row>
    <row r="42" spans="1:8" x14ac:dyDescent="0.25">
      <c r="A42" s="38">
        <v>45849</v>
      </c>
      <c r="B42" s="7" t="s">
        <v>98</v>
      </c>
      <c r="C42" s="4" t="s">
        <v>97</v>
      </c>
      <c r="D42" s="4" t="s">
        <v>100</v>
      </c>
      <c r="E42" s="37">
        <v>78</v>
      </c>
      <c r="F42" s="5" t="s">
        <v>106</v>
      </c>
      <c r="G42" s="5" t="s">
        <v>25</v>
      </c>
    </row>
    <row r="43" spans="1:8" x14ac:dyDescent="0.25">
      <c r="A43" s="38">
        <v>45847</v>
      </c>
      <c r="B43" s="7" t="s">
        <v>98</v>
      </c>
      <c r="C43" s="4" t="s">
        <v>97</v>
      </c>
      <c r="D43" s="4" t="s">
        <v>100</v>
      </c>
      <c r="E43" s="37">
        <v>115</v>
      </c>
      <c r="F43" s="5" t="s">
        <v>106</v>
      </c>
      <c r="G43" s="5" t="s">
        <v>25</v>
      </c>
    </row>
    <row r="44" spans="1:8" x14ac:dyDescent="0.25">
      <c r="A44" s="38">
        <v>45841</v>
      </c>
      <c r="B44" s="7" t="s">
        <v>98</v>
      </c>
      <c r="C44" s="4" t="s">
        <v>97</v>
      </c>
      <c r="D44" s="4" t="s">
        <v>100</v>
      </c>
      <c r="E44" s="37">
        <v>154</v>
      </c>
      <c r="F44" s="5" t="s">
        <v>106</v>
      </c>
      <c r="G44" s="5" t="s">
        <v>25</v>
      </c>
    </row>
    <row r="45" spans="1:8" x14ac:dyDescent="0.25">
      <c r="A45" s="38">
        <v>45838</v>
      </c>
      <c r="B45" s="7" t="s">
        <v>98</v>
      </c>
      <c r="C45" s="4" t="s">
        <v>97</v>
      </c>
      <c r="D45" s="4" t="s">
        <v>100</v>
      </c>
      <c r="E45" s="37">
        <v>159</v>
      </c>
      <c r="F45" s="5" t="s">
        <v>106</v>
      </c>
      <c r="G45" s="5" t="s">
        <v>25</v>
      </c>
      <c r="H45" s="27"/>
    </row>
    <row r="46" spans="1:8" x14ac:dyDescent="0.25">
      <c r="A46" s="38">
        <v>45834</v>
      </c>
      <c r="B46" s="7" t="s">
        <v>98</v>
      </c>
      <c r="C46" s="4" t="s">
        <v>97</v>
      </c>
      <c r="D46" s="4" t="s">
        <v>100</v>
      </c>
      <c r="E46" s="37">
        <v>114</v>
      </c>
      <c r="F46" s="5" t="s">
        <v>106</v>
      </c>
      <c r="G46" s="5" t="s">
        <v>25</v>
      </c>
      <c r="H46" s="27"/>
    </row>
    <row r="47" spans="1:8" x14ac:dyDescent="0.25">
      <c r="A47" s="38">
        <v>45832</v>
      </c>
      <c r="B47" s="7" t="s">
        <v>98</v>
      </c>
      <c r="C47" s="4" t="s">
        <v>97</v>
      </c>
      <c r="D47" s="4" t="s">
        <v>100</v>
      </c>
      <c r="E47" s="37">
        <v>116</v>
      </c>
      <c r="F47" s="5" t="s">
        <v>106</v>
      </c>
      <c r="G47" s="5" t="s">
        <v>25</v>
      </c>
      <c r="H47" s="27"/>
    </row>
    <row r="48" spans="1:8" x14ac:dyDescent="0.25">
      <c r="A48" s="38">
        <v>45826</v>
      </c>
      <c r="B48" s="7" t="s">
        <v>98</v>
      </c>
      <c r="C48" s="4" t="s">
        <v>97</v>
      </c>
      <c r="D48" s="4" t="s">
        <v>100</v>
      </c>
      <c r="E48" s="37">
        <v>156</v>
      </c>
      <c r="F48" s="5" t="s">
        <v>106</v>
      </c>
      <c r="G48" s="5" t="s">
        <v>25</v>
      </c>
    </row>
    <row r="49" spans="1:8" x14ac:dyDescent="0.25">
      <c r="A49" s="38">
        <v>45824</v>
      </c>
      <c r="B49" s="7" t="s">
        <v>98</v>
      </c>
      <c r="C49" s="4" t="s">
        <v>97</v>
      </c>
      <c r="D49" s="4" t="s">
        <v>100</v>
      </c>
      <c r="E49" s="37">
        <v>131</v>
      </c>
      <c r="F49" s="5" t="s">
        <v>106</v>
      </c>
      <c r="G49" s="5" t="s">
        <v>25</v>
      </c>
    </row>
    <row r="50" spans="1:8" x14ac:dyDescent="0.25">
      <c r="A50" s="38">
        <v>45779</v>
      </c>
      <c r="B50" s="7" t="s">
        <v>98</v>
      </c>
      <c r="C50" s="4" t="s">
        <v>97</v>
      </c>
      <c r="D50" s="4" t="s">
        <v>100</v>
      </c>
      <c r="E50" s="37">
        <v>80</v>
      </c>
      <c r="F50" s="5" t="s">
        <v>106</v>
      </c>
      <c r="G50" s="5" t="s">
        <v>25</v>
      </c>
    </row>
    <row r="51" spans="1:8" x14ac:dyDescent="0.25">
      <c r="A51" s="38">
        <v>45776</v>
      </c>
      <c r="B51" s="7" t="s">
        <v>98</v>
      </c>
      <c r="C51" s="4" t="s">
        <v>97</v>
      </c>
      <c r="D51" s="4" t="s">
        <v>100</v>
      </c>
      <c r="E51" s="37">
        <v>111</v>
      </c>
      <c r="F51" s="5" t="s">
        <v>106</v>
      </c>
      <c r="G51" s="5" t="s">
        <v>25</v>
      </c>
    </row>
    <row r="52" spans="1:8" x14ac:dyDescent="0.25">
      <c r="A52" s="38">
        <v>45775</v>
      </c>
      <c r="B52" s="7" t="s">
        <v>98</v>
      </c>
      <c r="C52" s="4" t="s">
        <v>97</v>
      </c>
      <c r="D52" s="4" t="s">
        <v>100</v>
      </c>
      <c r="E52" s="37">
        <v>149</v>
      </c>
      <c r="F52" s="5" t="s">
        <v>106</v>
      </c>
      <c r="G52" s="5" t="s">
        <v>25</v>
      </c>
    </row>
    <row r="53" spans="1:8" x14ac:dyDescent="0.25">
      <c r="A53" s="38">
        <v>45775</v>
      </c>
      <c r="B53" s="7" t="s">
        <v>98</v>
      </c>
      <c r="C53" s="4" t="s">
        <v>97</v>
      </c>
      <c r="D53" s="4" t="s">
        <v>100</v>
      </c>
      <c r="E53" s="37">
        <v>13</v>
      </c>
      <c r="F53" s="5" t="s">
        <v>106</v>
      </c>
      <c r="G53" s="5" t="s">
        <v>25</v>
      </c>
    </row>
    <row r="54" spans="1:8" x14ac:dyDescent="0.25">
      <c r="A54" s="38">
        <v>45764</v>
      </c>
      <c r="B54" s="7" t="s">
        <v>98</v>
      </c>
      <c r="C54" s="4" t="s">
        <v>97</v>
      </c>
      <c r="D54" s="4" t="s">
        <v>100</v>
      </c>
      <c r="E54" s="37">
        <v>64</v>
      </c>
      <c r="F54" s="5" t="s">
        <v>106</v>
      </c>
      <c r="G54" s="5" t="s">
        <v>25</v>
      </c>
    </row>
    <row r="55" spans="1:8" x14ac:dyDescent="0.25">
      <c r="A55" s="38">
        <v>45764</v>
      </c>
      <c r="B55" s="7" t="s">
        <v>98</v>
      </c>
      <c r="C55" s="4" t="s">
        <v>97</v>
      </c>
      <c r="D55" s="4" t="s">
        <v>100</v>
      </c>
      <c r="E55" s="37">
        <v>33</v>
      </c>
      <c r="F55" s="5" t="s">
        <v>106</v>
      </c>
      <c r="G55" s="5" t="s">
        <v>25</v>
      </c>
    </row>
    <row r="56" spans="1:8" x14ac:dyDescent="0.25">
      <c r="A56" s="38">
        <v>45764</v>
      </c>
      <c r="B56" s="7" t="s">
        <v>98</v>
      </c>
      <c r="C56" s="4" t="s">
        <v>97</v>
      </c>
      <c r="D56" s="4" t="s">
        <v>100</v>
      </c>
      <c r="E56" s="37">
        <v>70</v>
      </c>
      <c r="F56" s="5" t="s">
        <v>106</v>
      </c>
      <c r="G56" s="5" t="s">
        <v>25</v>
      </c>
    </row>
    <row r="57" spans="1:8" x14ac:dyDescent="0.25">
      <c r="A57" s="38">
        <v>45761</v>
      </c>
      <c r="B57" s="7" t="s">
        <v>98</v>
      </c>
      <c r="C57" s="4" t="s">
        <v>97</v>
      </c>
      <c r="D57" s="4" t="s">
        <v>100</v>
      </c>
      <c r="E57" s="37">
        <v>24</v>
      </c>
      <c r="F57" s="5" t="s">
        <v>106</v>
      </c>
      <c r="G57" s="5" t="s">
        <v>25</v>
      </c>
    </row>
    <row r="58" spans="1:8" x14ac:dyDescent="0.25">
      <c r="A58" s="38">
        <v>45761</v>
      </c>
      <c r="B58" s="7" t="s">
        <v>98</v>
      </c>
      <c r="C58" s="4" t="s">
        <v>97</v>
      </c>
      <c r="D58" s="4" t="s">
        <v>100</v>
      </c>
      <c r="E58" s="37">
        <v>131</v>
      </c>
      <c r="F58" s="5" t="s">
        <v>106</v>
      </c>
      <c r="G58" s="5" t="s">
        <v>25</v>
      </c>
    </row>
    <row r="59" spans="1:8" x14ac:dyDescent="0.25">
      <c r="A59" s="38">
        <v>45758</v>
      </c>
      <c r="B59" s="7" t="s">
        <v>105</v>
      </c>
      <c r="C59" s="4" t="s">
        <v>104</v>
      </c>
      <c r="D59" s="4" t="s">
        <v>100</v>
      </c>
      <c r="E59" s="37">
        <v>139</v>
      </c>
      <c r="F59" s="5" t="s">
        <v>107</v>
      </c>
      <c r="G59" s="5" t="s">
        <v>25</v>
      </c>
      <c r="H59" s="27"/>
    </row>
    <row r="60" spans="1:8" x14ac:dyDescent="0.25">
      <c r="A60" s="38">
        <v>45757</v>
      </c>
      <c r="B60" s="7" t="s">
        <v>105</v>
      </c>
      <c r="C60" s="4" t="s">
        <v>104</v>
      </c>
      <c r="D60" s="4" t="s">
        <v>100</v>
      </c>
      <c r="E60" s="37">
        <v>89</v>
      </c>
      <c r="F60" s="5" t="s">
        <v>107</v>
      </c>
      <c r="G60" s="5" t="s">
        <v>25</v>
      </c>
      <c r="H60" s="27"/>
    </row>
    <row r="61" spans="1:8" x14ac:dyDescent="0.25">
      <c r="A61" s="38">
        <v>45755</v>
      </c>
      <c r="B61" s="7" t="s">
        <v>105</v>
      </c>
      <c r="C61" s="4" t="s">
        <v>104</v>
      </c>
      <c r="D61" s="4" t="s">
        <v>100</v>
      </c>
      <c r="E61" s="37">
        <v>89</v>
      </c>
      <c r="F61" s="5" t="s">
        <v>107</v>
      </c>
      <c r="G61" s="5" t="s">
        <v>25</v>
      </c>
      <c r="H61" s="27"/>
    </row>
    <row r="62" spans="1:8" x14ac:dyDescent="0.25">
      <c r="A62" s="38">
        <v>45754</v>
      </c>
      <c r="B62" s="7" t="s">
        <v>105</v>
      </c>
      <c r="C62" s="4" t="s">
        <v>104</v>
      </c>
      <c r="D62" s="4" t="s">
        <v>100</v>
      </c>
      <c r="E62" s="37">
        <v>91</v>
      </c>
      <c r="F62" s="5" t="s">
        <v>107</v>
      </c>
      <c r="G62" s="5" t="s">
        <v>25</v>
      </c>
      <c r="H62" s="27"/>
    </row>
    <row r="63" spans="1:8" x14ac:dyDescent="0.25">
      <c r="A63" s="38">
        <v>45746</v>
      </c>
      <c r="B63" s="7" t="s">
        <v>98</v>
      </c>
      <c r="C63" s="4" t="s">
        <v>97</v>
      </c>
      <c r="D63" s="4" t="s">
        <v>100</v>
      </c>
      <c r="E63" s="37">
        <v>132</v>
      </c>
      <c r="F63" s="5" t="s">
        <v>106</v>
      </c>
      <c r="G63" s="5" t="s">
        <v>25</v>
      </c>
    </row>
    <row r="64" spans="1:8" x14ac:dyDescent="0.25">
      <c r="A64" s="38">
        <v>45737</v>
      </c>
      <c r="B64" s="7" t="s">
        <v>98</v>
      </c>
      <c r="C64" s="4" t="s">
        <v>97</v>
      </c>
      <c r="D64" s="4" t="s">
        <v>100</v>
      </c>
      <c r="E64" s="37">
        <v>73</v>
      </c>
      <c r="F64" s="5" t="s">
        <v>106</v>
      </c>
      <c r="G64" s="5" t="s">
        <v>25</v>
      </c>
      <c r="H64" s="27"/>
    </row>
    <row r="65" spans="1:8" x14ac:dyDescent="0.25">
      <c r="A65" s="38">
        <v>45736</v>
      </c>
      <c r="B65" s="7" t="s">
        <v>98</v>
      </c>
      <c r="C65" s="4" t="s">
        <v>97</v>
      </c>
      <c r="D65" s="4" t="s">
        <v>100</v>
      </c>
      <c r="E65" s="37">
        <v>52</v>
      </c>
      <c r="F65" s="5" t="s">
        <v>106</v>
      </c>
      <c r="G65" s="5" t="s">
        <v>25</v>
      </c>
      <c r="H65" s="27"/>
    </row>
    <row r="66" spans="1:8" x14ac:dyDescent="0.25">
      <c r="A66" s="38">
        <v>45736</v>
      </c>
      <c r="B66" s="7" t="s">
        <v>98</v>
      </c>
      <c r="C66" s="4" t="s">
        <v>97</v>
      </c>
      <c r="D66" s="4" t="s">
        <v>100</v>
      </c>
      <c r="E66" s="37">
        <v>21</v>
      </c>
      <c r="F66" s="5" t="s">
        <v>106</v>
      </c>
      <c r="G66" s="5" t="s">
        <v>25</v>
      </c>
      <c r="H66" s="27"/>
    </row>
    <row r="67" spans="1:8" x14ac:dyDescent="0.25">
      <c r="A67" s="38">
        <v>45736</v>
      </c>
      <c r="B67" s="7" t="s">
        <v>98</v>
      </c>
      <c r="C67" s="4" t="s">
        <v>97</v>
      </c>
      <c r="D67" s="4" t="s">
        <v>100</v>
      </c>
      <c r="E67" s="37">
        <v>12</v>
      </c>
      <c r="F67" s="5" t="s">
        <v>106</v>
      </c>
      <c r="G67" s="5" t="s">
        <v>25</v>
      </c>
      <c r="H67" s="27"/>
    </row>
    <row r="68" spans="1:8" x14ac:dyDescent="0.25">
      <c r="A68" s="38">
        <v>45736</v>
      </c>
      <c r="B68" s="7" t="s">
        <v>98</v>
      </c>
      <c r="C68" s="4" t="s">
        <v>97</v>
      </c>
      <c r="D68" s="4" t="s">
        <v>100</v>
      </c>
      <c r="E68" s="37">
        <v>19</v>
      </c>
      <c r="F68" s="37" t="s">
        <v>106</v>
      </c>
      <c r="G68" s="5" t="s">
        <v>25</v>
      </c>
      <c r="H68" s="27"/>
    </row>
    <row r="69" spans="1:8" x14ac:dyDescent="0.25">
      <c r="A69" s="38">
        <v>45736</v>
      </c>
      <c r="B69" s="7" t="s">
        <v>98</v>
      </c>
      <c r="C69" s="4" t="s">
        <v>97</v>
      </c>
      <c r="D69" s="4" t="s">
        <v>100</v>
      </c>
      <c r="E69" s="37">
        <v>13</v>
      </c>
      <c r="F69" s="37" t="s">
        <v>106</v>
      </c>
      <c r="G69" s="5" t="s">
        <v>25</v>
      </c>
      <c r="H69" s="27"/>
    </row>
    <row r="70" spans="1:8" x14ac:dyDescent="0.25">
      <c r="A70" s="38">
        <v>45736</v>
      </c>
      <c r="B70" s="7" t="s">
        <v>98</v>
      </c>
      <c r="C70" s="4" t="s">
        <v>97</v>
      </c>
      <c r="D70" s="4" t="s">
        <v>100</v>
      </c>
      <c r="E70" s="37">
        <v>26</v>
      </c>
      <c r="F70" s="37" t="s">
        <v>106</v>
      </c>
      <c r="G70" s="5" t="s">
        <v>25</v>
      </c>
      <c r="H70" s="27"/>
    </row>
    <row r="71" spans="1:8" x14ac:dyDescent="0.25">
      <c r="A71" s="38">
        <v>45734</v>
      </c>
      <c r="B71" s="7" t="s">
        <v>98</v>
      </c>
      <c r="C71" s="4" t="s">
        <v>97</v>
      </c>
      <c r="D71" s="4" t="s">
        <v>100</v>
      </c>
      <c r="E71" s="37">
        <v>32</v>
      </c>
      <c r="F71" s="37" t="s">
        <v>106</v>
      </c>
      <c r="G71" s="5" t="s">
        <v>25</v>
      </c>
      <c r="H71" s="27"/>
    </row>
    <row r="72" spans="1:8" x14ac:dyDescent="0.25">
      <c r="A72" s="38">
        <v>45734</v>
      </c>
      <c r="B72" s="7" t="s">
        <v>98</v>
      </c>
      <c r="C72" s="4" t="s">
        <v>97</v>
      </c>
      <c r="D72" s="4" t="s">
        <v>100</v>
      </c>
      <c r="E72" s="37">
        <v>34</v>
      </c>
      <c r="F72" s="37" t="s">
        <v>106</v>
      </c>
      <c r="G72" s="5" t="s">
        <v>25</v>
      </c>
      <c r="H72" s="27"/>
    </row>
    <row r="73" spans="1:8" x14ac:dyDescent="0.25">
      <c r="A73" s="38">
        <v>45734</v>
      </c>
      <c r="B73" s="7" t="s">
        <v>98</v>
      </c>
      <c r="C73" s="4" t="s">
        <v>97</v>
      </c>
      <c r="D73" s="4" t="s">
        <v>100</v>
      </c>
      <c r="E73" s="37">
        <v>85</v>
      </c>
      <c r="F73" s="37" t="s">
        <v>106</v>
      </c>
      <c r="G73" s="5" t="s">
        <v>25</v>
      </c>
      <c r="H73" s="27"/>
    </row>
    <row r="74" spans="1:8" x14ac:dyDescent="0.25">
      <c r="A74" s="38">
        <v>45729</v>
      </c>
      <c r="B74" s="7" t="s">
        <v>98</v>
      </c>
      <c r="C74" s="4" t="s">
        <v>97</v>
      </c>
      <c r="D74" s="4" t="s">
        <v>100</v>
      </c>
      <c r="E74" s="37">
        <v>36</v>
      </c>
      <c r="F74" s="37" t="s">
        <v>106</v>
      </c>
      <c r="G74" s="5" t="s">
        <v>25</v>
      </c>
      <c r="H74" s="27"/>
    </row>
    <row r="75" spans="1:8" x14ac:dyDescent="0.25">
      <c r="A75" s="38">
        <v>45729</v>
      </c>
      <c r="B75" s="7" t="s">
        <v>98</v>
      </c>
      <c r="C75" s="4" t="s">
        <v>97</v>
      </c>
      <c r="D75" s="4" t="s">
        <v>100</v>
      </c>
      <c r="E75" s="37">
        <v>50</v>
      </c>
      <c r="F75" s="37" t="s">
        <v>106</v>
      </c>
      <c r="G75" s="5" t="s">
        <v>25</v>
      </c>
      <c r="H75" s="27"/>
    </row>
    <row r="76" spans="1:8" x14ac:dyDescent="0.25">
      <c r="A76" s="38">
        <v>45723</v>
      </c>
      <c r="B76" s="7" t="s">
        <v>105</v>
      </c>
      <c r="C76" s="4" t="s">
        <v>104</v>
      </c>
      <c r="D76" s="4" t="s">
        <v>100</v>
      </c>
      <c r="E76" s="37">
        <v>132</v>
      </c>
      <c r="F76" s="37" t="s">
        <v>107</v>
      </c>
      <c r="G76" s="5" t="s">
        <v>25</v>
      </c>
      <c r="H76" s="27"/>
    </row>
    <row r="77" spans="1:8" x14ac:dyDescent="0.25">
      <c r="A77" s="38">
        <v>45722</v>
      </c>
      <c r="B77" s="7" t="s">
        <v>98</v>
      </c>
      <c r="C77" s="4" t="s">
        <v>97</v>
      </c>
      <c r="D77" s="4" t="s">
        <v>100</v>
      </c>
      <c r="E77" s="37">
        <v>120</v>
      </c>
      <c r="F77" s="37" t="s">
        <v>106</v>
      </c>
      <c r="G77" s="5" t="s">
        <v>25</v>
      </c>
      <c r="H77" s="27"/>
    </row>
    <row r="78" spans="1:8" x14ac:dyDescent="0.25">
      <c r="A78" s="38">
        <v>45722</v>
      </c>
      <c r="B78" s="7" t="s">
        <v>98</v>
      </c>
      <c r="C78" s="4" t="s">
        <v>97</v>
      </c>
      <c r="D78" s="4" t="s">
        <v>100</v>
      </c>
      <c r="E78" s="37">
        <v>107</v>
      </c>
      <c r="F78" s="37" t="s">
        <v>106</v>
      </c>
      <c r="G78" s="5" t="s">
        <v>25</v>
      </c>
      <c r="H78" s="27"/>
    </row>
    <row r="79" spans="1:8" x14ac:dyDescent="0.25">
      <c r="A79" s="38">
        <v>45721</v>
      </c>
      <c r="B79" s="7" t="s">
        <v>98</v>
      </c>
      <c r="C79" s="4" t="s">
        <v>97</v>
      </c>
      <c r="D79" s="4" t="s">
        <v>100</v>
      </c>
      <c r="E79" s="37">
        <v>14</v>
      </c>
      <c r="F79" s="37" t="s">
        <v>106</v>
      </c>
      <c r="G79" s="5" t="s">
        <v>25</v>
      </c>
      <c r="H79" s="27"/>
    </row>
    <row r="80" spans="1:8" x14ac:dyDescent="0.25">
      <c r="A80" s="38">
        <v>45721</v>
      </c>
      <c r="B80" s="7" t="s">
        <v>98</v>
      </c>
      <c r="C80" s="4" t="s">
        <v>97</v>
      </c>
      <c r="D80" s="4" t="s">
        <v>100</v>
      </c>
      <c r="E80" s="37">
        <v>70</v>
      </c>
      <c r="F80" s="37" t="s">
        <v>106</v>
      </c>
      <c r="G80" s="5" t="s">
        <v>25</v>
      </c>
      <c r="H80" s="27"/>
    </row>
    <row r="81" spans="1:8" x14ac:dyDescent="0.25">
      <c r="A81" s="38">
        <v>45716</v>
      </c>
      <c r="B81" s="7" t="s">
        <v>105</v>
      </c>
      <c r="C81" s="4" t="s">
        <v>104</v>
      </c>
      <c r="D81" s="4" t="s">
        <v>100</v>
      </c>
      <c r="E81" s="37">
        <v>88</v>
      </c>
      <c r="F81" s="37" t="s">
        <v>107</v>
      </c>
      <c r="G81" s="5" t="s">
        <v>25</v>
      </c>
      <c r="H81" s="27"/>
    </row>
    <row r="82" spans="1:8" x14ac:dyDescent="0.25">
      <c r="A82" s="38">
        <v>45714</v>
      </c>
      <c r="B82" s="7" t="s">
        <v>105</v>
      </c>
      <c r="C82" s="4" t="s">
        <v>104</v>
      </c>
      <c r="D82" s="4" t="s">
        <v>100</v>
      </c>
      <c r="E82" s="37">
        <v>94</v>
      </c>
      <c r="F82" s="37" t="s">
        <v>107</v>
      </c>
      <c r="G82" s="5" t="s">
        <v>25</v>
      </c>
      <c r="H82" s="27"/>
    </row>
    <row r="83" spans="1:8" x14ac:dyDescent="0.25">
      <c r="A83" s="38">
        <v>45712</v>
      </c>
      <c r="B83" s="7" t="s">
        <v>105</v>
      </c>
      <c r="C83" s="4" t="s">
        <v>104</v>
      </c>
      <c r="D83" s="4" t="s">
        <v>100</v>
      </c>
      <c r="E83" s="37">
        <v>91</v>
      </c>
      <c r="F83" s="37" t="s">
        <v>107</v>
      </c>
      <c r="G83" s="5" t="s">
        <v>25</v>
      </c>
      <c r="H83" s="27"/>
    </row>
    <row r="84" spans="1:8" x14ac:dyDescent="0.25">
      <c r="A84" s="38">
        <v>45711</v>
      </c>
      <c r="B84" s="7" t="s">
        <v>105</v>
      </c>
      <c r="C84" s="4" t="s">
        <v>104</v>
      </c>
      <c r="D84" s="4" t="s">
        <v>100</v>
      </c>
      <c r="E84" s="37">
        <v>88</v>
      </c>
      <c r="F84" s="37" t="s">
        <v>107</v>
      </c>
      <c r="G84" s="5" t="s">
        <v>25</v>
      </c>
      <c r="H84" s="27"/>
    </row>
    <row r="85" spans="1:8" x14ac:dyDescent="0.25">
      <c r="A85" s="38">
        <v>45703</v>
      </c>
      <c r="B85" s="7" t="s">
        <v>105</v>
      </c>
      <c r="C85" s="4" t="s">
        <v>104</v>
      </c>
      <c r="D85" s="4" t="s">
        <v>100</v>
      </c>
      <c r="E85" s="37">
        <v>140</v>
      </c>
      <c r="F85" s="37" t="s">
        <v>107</v>
      </c>
      <c r="G85" s="5" t="s">
        <v>25</v>
      </c>
      <c r="H85" s="27"/>
    </row>
    <row r="86" spans="1:8" x14ac:dyDescent="0.25">
      <c r="A86" s="38">
        <v>45696</v>
      </c>
      <c r="B86" s="7" t="s">
        <v>105</v>
      </c>
      <c r="C86" s="4" t="s">
        <v>104</v>
      </c>
      <c r="D86" s="4" t="s">
        <v>100</v>
      </c>
      <c r="E86" s="37">
        <v>137</v>
      </c>
      <c r="F86" s="37" t="s">
        <v>107</v>
      </c>
      <c r="G86" s="5" t="s">
        <v>25</v>
      </c>
      <c r="H86" s="27"/>
    </row>
    <row r="87" spans="1:8" x14ac:dyDescent="0.25">
      <c r="A87" s="38">
        <v>45695</v>
      </c>
      <c r="B87" s="7" t="s">
        <v>105</v>
      </c>
      <c r="C87" s="4" t="s">
        <v>104</v>
      </c>
      <c r="D87" s="4" t="s">
        <v>100</v>
      </c>
      <c r="E87" s="37">
        <v>94</v>
      </c>
      <c r="F87" s="37" t="s">
        <v>107</v>
      </c>
      <c r="G87" s="5" t="s">
        <v>25</v>
      </c>
      <c r="H87" s="27"/>
    </row>
    <row r="88" spans="1:8" x14ac:dyDescent="0.25">
      <c r="A88" s="38">
        <v>45693</v>
      </c>
      <c r="B88" s="7" t="s">
        <v>105</v>
      </c>
      <c r="C88" s="4" t="s">
        <v>104</v>
      </c>
      <c r="D88" s="4" t="s">
        <v>100</v>
      </c>
      <c r="E88" s="37">
        <v>135</v>
      </c>
      <c r="F88" s="37" t="s">
        <v>107</v>
      </c>
      <c r="G88" s="5" t="s">
        <v>25</v>
      </c>
      <c r="H88" s="27"/>
    </row>
    <row r="89" spans="1:8" x14ac:dyDescent="0.25">
      <c r="A89" s="38">
        <v>45692</v>
      </c>
      <c r="B89" s="7" t="s">
        <v>105</v>
      </c>
      <c r="C89" s="4" t="s">
        <v>104</v>
      </c>
      <c r="D89" s="4" t="s">
        <v>100</v>
      </c>
      <c r="E89" s="37">
        <v>134</v>
      </c>
      <c r="F89" s="37" t="s">
        <v>107</v>
      </c>
      <c r="G89" s="5" t="s">
        <v>25</v>
      </c>
      <c r="H89" s="27"/>
    </row>
    <row r="90" spans="1:8" x14ac:dyDescent="0.25">
      <c r="A90" s="38">
        <v>45691</v>
      </c>
      <c r="B90" s="7" t="s">
        <v>98</v>
      </c>
      <c r="C90" s="4" t="s">
        <v>97</v>
      </c>
      <c r="D90" s="4" t="s">
        <v>100</v>
      </c>
      <c r="E90" s="37">
        <v>106</v>
      </c>
      <c r="F90" s="37" t="s">
        <v>106</v>
      </c>
      <c r="G90" s="5" t="s">
        <v>25</v>
      </c>
      <c r="H90" s="27"/>
    </row>
    <row r="91" spans="1:8" x14ac:dyDescent="0.25">
      <c r="A91" s="38">
        <v>45691</v>
      </c>
      <c r="B91" s="7" t="s">
        <v>98</v>
      </c>
      <c r="C91" s="4" t="s">
        <v>97</v>
      </c>
      <c r="D91" s="4" t="s">
        <v>100</v>
      </c>
      <c r="E91" s="37">
        <v>60</v>
      </c>
      <c r="F91" s="37" t="s">
        <v>106</v>
      </c>
      <c r="G91" s="5" t="s">
        <v>25</v>
      </c>
      <c r="H91" s="27"/>
    </row>
    <row r="92" spans="1:8" x14ac:dyDescent="0.25">
      <c r="A92" s="38">
        <v>45691</v>
      </c>
      <c r="B92" s="7" t="s">
        <v>98</v>
      </c>
      <c r="C92" s="4" t="s">
        <v>97</v>
      </c>
      <c r="D92" s="4" t="s">
        <v>100</v>
      </c>
      <c r="E92" s="37">
        <v>58</v>
      </c>
      <c r="F92" s="37" t="s">
        <v>106</v>
      </c>
      <c r="G92" s="5" t="s">
        <v>25</v>
      </c>
      <c r="H92" s="27"/>
    </row>
    <row r="93" spans="1:8" x14ac:dyDescent="0.25">
      <c r="A93" s="38">
        <v>45685</v>
      </c>
      <c r="B93" s="7" t="s">
        <v>98</v>
      </c>
      <c r="C93" s="4" t="s">
        <v>97</v>
      </c>
      <c r="D93" s="4" t="s">
        <v>100</v>
      </c>
      <c r="E93" s="37">
        <v>54</v>
      </c>
      <c r="F93" s="37" t="s">
        <v>106</v>
      </c>
      <c r="G93" s="5" t="s">
        <v>25</v>
      </c>
      <c r="H93" s="27"/>
    </row>
    <row r="94" spans="1:8" x14ac:dyDescent="0.25">
      <c r="A94" s="38">
        <v>45685</v>
      </c>
      <c r="B94" s="7" t="s">
        <v>98</v>
      </c>
      <c r="C94" s="4" t="s">
        <v>97</v>
      </c>
      <c r="D94" s="4" t="s">
        <v>100</v>
      </c>
      <c r="E94" s="37">
        <v>25</v>
      </c>
      <c r="F94" s="37" t="s">
        <v>106</v>
      </c>
      <c r="G94" s="5" t="s">
        <v>25</v>
      </c>
      <c r="H94" s="27"/>
    </row>
    <row r="95" spans="1:8" x14ac:dyDescent="0.25">
      <c r="A95" s="38">
        <v>45685</v>
      </c>
      <c r="B95" s="7" t="s">
        <v>98</v>
      </c>
      <c r="C95" s="4" t="s">
        <v>97</v>
      </c>
      <c r="D95" s="4" t="s">
        <v>100</v>
      </c>
      <c r="E95" s="37">
        <v>19</v>
      </c>
      <c r="F95" s="37" t="s">
        <v>106</v>
      </c>
      <c r="G95" s="5" t="s">
        <v>25</v>
      </c>
      <c r="H95" s="27"/>
    </row>
    <row r="96" spans="1:8" x14ac:dyDescent="0.25">
      <c r="A96" s="38">
        <v>45685</v>
      </c>
      <c r="B96" s="7" t="s">
        <v>98</v>
      </c>
      <c r="C96" s="4" t="s">
        <v>97</v>
      </c>
      <c r="D96" s="4" t="s">
        <v>100</v>
      </c>
      <c r="E96" s="37">
        <v>21</v>
      </c>
      <c r="F96" s="37" t="s">
        <v>106</v>
      </c>
      <c r="G96" s="5" t="s">
        <v>25</v>
      </c>
      <c r="H96" s="27"/>
    </row>
    <row r="97" spans="1:8" x14ac:dyDescent="0.25">
      <c r="A97" s="38">
        <v>45684</v>
      </c>
      <c r="B97" s="7" t="s">
        <v>98</v>
      </c>
      <c r="C97" s="4" t="s">
        <v>97</v>
      </c>
      <c r="D97" s="4" t="s">
        <v>100</v>
      </c>
      <c r="E97" s="37">
        <v>74</v>
      </c>
      <c r="F97" s="37" t="s">
        <v>106</v>
      </c>
      <c r="G97" s="5" t="s">
        <v>25</v>
      </c>
      <c r="H97" s="27"/>
    </row>
    <row r="98" spans="1:8" x14ac:dyDescent="0.25">
      <c r="A98" s="38">
        <v>45684</v>
      </c>
      <c r="B98" s="7" t="s">
        <v>98</v>
      </c>
      <c r="C98" s="4" t="s">
        <v>97</v>
      </c>
      <c r="D98" s="4" t="s">
        <v>100</v>
      </c>
      <c r="E98" s="37">
        <v>77</v>
      </c>
      <c r="F98" s="37" t="s">
        <v>106</v>
      </c>
      <c r="G98" s="5" t="s">
        <v>25</v>
      </c>
      <c r="H98" s="27"/>
    </row>
    <row r="99" spans="1:8" x14ac:dyDescent="0.25">
      <c r="A99" s="38">
        <v>45681</v>
      </c>
      <c r="B99" s="7" t="s">
        <v>105</v>
      </c>
      <c r="C99" s="4" t="s">
        <v>104</v>
      </c>
      <c r="D99" s="4" t="s">
        <v>100</v>
      </c>
      <c r="E99" s="37">
        <v>93</v>
      </c>
      <c r="F99" s="37" t="s">
        <v>107</v>
      </c>
      <c r="G99" s="5" t="s">
        <v>25</v>
      </c>
      <c r="H99" s="27"/>
    </row>
    <row r="100" spans="1:8" x14ac:dyDescent="0.25">
      <c r="A100" s="38">
        <v>45672</v>
      </c>
      <c r="B100" s="7" t="s">
        <v>98</v>
      </c>
      <c r="C100" s="4" t="s">
        <v>97</v>
      </c>
      <c r="D100" s="4" t="s">
        <v>100</v>
      </c>
      <c r="E100" s="37">
        <v>97</v>
      </c>
      <c r="F100" s="37" t="s">
        <v>106</v>
      </c>
      <c r="G100" s="5" t="s">
        <v>25</v>
      </c>
      <c r="H100" s="27"/>
    </row>
    <row r="101" spans="1:8" x14ac:dyDescent="0.25">
      <c r="A101" s="38">
        <v>45672</v>
      </c>
      <c r="B101" s="7" t="s">
        <v>98</v>
      </c>
      <c r="C101" s="4" t="s">
        <v>97</v>
      </c>
      <c r="D101" s="4" t="s">
        <v>100</v>
      </c>
      <c r="E101" s="37">
        <v>75</v>
      </c>
      <c r="F101" s="37" t="s">
        <v>106</v>
      </c>
      <c r="G101" s="5" t="s">
        <v>25</v>
      </c>
      <c r="H101" s="27"/>
    </row>
    <row r="102" spans="1:8" x14ac:dyDescent="0.25">
      <c r="A102" s="38">
        <v>45672</v>
      </c>
      <c r="B102" s="7" t="s">
        <v>98</v>
      </c>
      <c r="C102" s="4" t="s">
        <v>97</v>
      </c>
      <c r="D102" s="4" t="s">
        <v>100</v>
      </c>
      <c r="E102" s="37">
        <v>34</v>
      </c>
      <c r="F102" s="37" t="s">
        <v>106</v>
      </c>
      <c r="G102" s="5" t="s">
        <v>25</v>
      </c>
      <c r="H102" s="27"/>
    </row>
    <row r="103" spans="1:8" x14ac:dyDescent="0.25">
      <c r="A103" s="38">
        <v>45672</v>
      </c>
      <c r="B103" s="7" t="s">
        <v>98</v>
      </c>
      <c r="C103" s="4" t="s">
        <v>97</v>
      </c>
      <c r="D103" s="4" t="s">
        <v>100</v>
      </c>
      <c r="E103" s="37">
        <v>62</v>
      </c>
      <c r="F103" s="37" t="s">
        <v>106</v>
      </c>
      <c r="G103" s="5" t="s">
        <v>25</v>
      </c>
      <c r="H103" s="27"/>
    </row>
    <row r="104" spans="1:8" x14ac:dyDescent="0.25">
      <c r="A104" s="39">
        <v>45660</v>
      </c>
      <c r="B104" s="7" t="s">
        <v>105</v>
      </c>
      <c r="C104" s="4" t="s">
        <v>104</v>
      </c>
      <c r="D104" s="4" t="s">
        <v>100</v>
      </c>
      <c r="E104" s="37">
        <v>135</v>
      </c>
      <c r="F104" s="37" t="s">
        <v>107</v>
      </c>
      <c r="G104" s="5" t="s">
        <v>25</v>
      </c>
      <c r="H104" s="27"/>
    </row>
  </sheetData>
  <phoneticPr fontId="5" type="noConversion"/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C888-657F-448A-B729-CC87F4EF4C8C}">
  <dimension ref="A1:AA2"/>
  <sheetViews>
    <sheetView workbookViewId="0">
      <selection activeCell="C5" sqref="C5"/>
    </sheetView>
  </sheetViews>
  <sheetFormatPr defaultRowHeight="15" x14ac:dyDescent="0.25"/>
  <cols>
    <col min="1" max="1" width="10.28515625" bestFit="1" customWidth="1"/>
    <col min="2" max="2" width="21.42578125" bestFit="1" customWidth="1"/>
    <col min="3" max="3" width="9.140625" customWidth="1"/>
    <col min="4" max="4" width="7" bestFit="1" customWidth="1"/>
    <col min="5" max="5" width="10.28515625" customWidth="1"/>
    <col min="6" max="14" width="5.5703125" customWidth="1"/>
    <col min="15" max="23" width="6.5703125" customWidth="1"/>
    <col min="24" max="24" width="8.85546875" customWidth="1"/>
    <col min="25" max="25" width="8.28515625" customWidth="1"/>
    <col min="26" max="26" width="8.42578125" customWidth="1"/>
    <col min="27" max="27" width="8.28515625" customWidth="1"/>
  </cols>
  <sheetData>
    <row r="1" spans="1:27" x14ac:dyDescent="0.25">
      <c r="A1" t="s">
        <v>109</v>
      </c>
      <c r="B1" t="s">
        <v>2</v>
      </c>
      <c r="C1" t="s">
        <v>138</v>
      </c>
      <c r="D1" t="s">
        <v>139</v>
      </c>
      <c r="E1" t="s">
        <v>140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141</v>
      </c>
      <c r="Y1" t="s">
        <v>142</v>
      </c>
      <c r="Z1" t="s">
        <v>143</v>
      </c>
      <c r="AA1" t="s">
        <v>144</v>
      </c>
    </row>
    <row r="2" spans="1:27" x14ac:dyDescent="0.25">
      <c r="A2" s="22">
        <v>46010</v>
      </c>
      <c r="B2" t="s">
        <v>145</v>
      </c>
      <c r="C2" t="s">
        <v>146</v>
      </c>
      <c r="D2" t="s">
        <v>147</v>
      </c>
      <c r="E2">
        <v>6063</v>
      </c>
      <c r="F2">
        <v>2</v>
      </c>
      <c r="G2">
        <v>2</v>
      </c>
      <c r="H2">
        <v>3</v>
      </c>
      <c r="I2">
        <v>2</v>
      </c>
      <c r="J2">
        <v>2</v>
      </c>
      <c r="K2">
        <v>2</v>
      </c>
      <c r="L2">
        <v>2</v>
      </c>
      <c r="M2">
        <v>3</v>
      </c>
      <c r="N2">
        <v>2</v>
      </c>
      <c r="O2">
        <v>2</v>
      </c>
      <c r="P2">
        <v>3</v>
      </c>
      <c r="Q2">
        <v>3</v>
      </c>
      <c r="R2">
        <v>1</v>
      </c>
      <c r="S2">
        <v>2</v>
      </c>
      <c r="T2">
        <v>2</v>
      </c>
      <c r="U2">
        <v>2</v>
      </c>
      <c r="V2">
        <v>1</v>
      </c>
      <c r="W2">
        <v>2</v>
      </c>
      <c r="X2">
        <v>52</v>
      </c>
      <c r="Y2">
        <v>52</v>
      </c>
      <c r="Z2">
        <v>104</v>
      </c>
      <c r="AA2">
        <v>32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D427-8A92-0743-97B7-A926D1C5C400}">
  <dimension ref="A1:H29"/>
  <sheetViews>
    <sheetView zoomScaleNormal="100" zoomScaleSheetLayoutView="100" workbookViewId="0">
      <selection activeCell="C5" sqref="C5"/>
    </sheetView>
  </sheetViews>
  <sheetFormatPr defaultRowHeight="15" x14ac:dyDescent="0.25"/>
  <cols>
    <col min="2" max="2" width="12.85546875" bestFit="1" customWidth="1"/>
    <col min="3" max="3" width="12.85546875" customWidth="1"/>
    <col min="4" max="4" width="10.28515625" bestFit="1" customWidth="1"/>
    <col min="5" max="5" width="10.5703125" bestFit="1" customWidth="1"/>
    <col min="7" max="7" width="16.28515625" style="2" bestFit="1" customWidth="1"/>
    <col min="8" max="8" width="8.85546875" style="27"/>
  </cols>
  <sheetData>
    <row r="1" spans="1:8" x14ac:dyDescent="0.25">
      <c r="A1" s="25" t="s">
        <v>58</v>
      </c>
      <c r="B1" s="26" t="s">
        <v>59</v>
      </c>
      <c r="C1" s="26"/>
      <c r="G1" s="2" t="s">
        <v>66</v>
      </c>
      <c r="H1" s="27" t="s">
        <v>67</v>
      </c>
    </row>
    <row r="2" spans="1:8" x14ac:dyDescent="0.25">
      <c r="A2" s="25" t="s">
        <v>24</v>
      </c>
      <c r="B2" t="s">
        <v>25</v>
      </c>
    </row>
    <row r="3" spans="1:8" x14ac:dyDescent="0.25">
      <c r="A3" s="3" t="s">
        <v>60</v>
      </c>
      <c r="B3" s="3" t="s">
        <v>68</v>
      </c>
      <c r="C3" s="3" t="s">
        <v>61</v>
      </c>
      <c r="D3" s="3" t="s">
        <v>62</v>
      </c>
      <c r="F3" s="2"/>
      <c r="G3" s="27"/>
      <c r="H3"/>
    </row>
    <row r="4" spans="1:8" x14ac:dyDescent="0.25">
      <c r="A4" s="3" t="s">
        <v>63</v>
      </c>
      <c r="B4" s="3" t="s">
        <v>70</v>
      </c>
      <c r="C4" s="3">
        <v>40</v>
      </c>
      <c r="D4" s="3">
        <v>60</v>
      </c>
      <c r="F4" s="2">
        <f>C19-C4</f>
        <v>0</v>
      </c>
      <c r="G4" s="27">
        <f>(C19/C4)-1</f>
        <v>0</v>
      </c>
      <c r="H4"/>
    </row>
    <row r="5" spans="1:8" x14ac:dyDescent="0.25">
      <c r="A5" s="3" t="s">
        <v>64</v>
      </c>
      <c r="B5" s="3" t="s">
        <v>70</v>
      </c>
      <c r="C5" s="3">
        <v>60</v>
      </c>
      <c r="D5" s="3">
        <v>70</v>
      </c>
      <c r="F5" s="2">
        <f t="shared" ref="F5:F14" si="0">C20-C5</f>
        <v>10</v>
      </c>
      <c r="G5" s="27">
        <f t="shared" ref="G5:G14" si="1">(C20/C5)-1</f>
        <v>0.16666666666666674</v>
      </c>
      <c r="H5"/>
    </row>
    <row r="6" spans="1:8" x14ac:dyDescent="0.25">
      <c r="A6" s="3" t="s">
        <v>64</v>
      </c>
      <c r="B6" s="3" t="s">
        <v>69</v>
      </c>
      <c r="C6" s="3">
        <v>0</v>
      </c>
      <c r="D6" s="3">
        <v>0</v>
      </c>
      <c r="F6" s="2">
        <f t="shared" si="0"/>
        <v>70</v>
      </c>
      <c r="G6" s="27" t="e">
        <f t="shared" si="1"/>
        <v>#DIV/0!</v>
      </c>
      <c r="H6"/>
    </row>
    <row r="7" spans="1:8" x14ac:dyDescent="0.25">
      <c r="A7" s="3" t="s">
        <v>43</v>
      </c>
      <c r="B7" s="3" t="s">
        <v>70</v>
      </c>
      <c r="C7" s="3">
        <v>70</v>
      </c>
      <c r="D7" s="3">
        <v>80</v>
      </c>
      <c r="F7" s="2">
        <f t="shared" si="0"/>
        <v>20</v>
      </c>
      <c r="G7" s="27">
        <f t="shared" si="1"/>
        <v>0.28571428571428581</v>
      </c>
      <c r="H7"/>
    </row>
    <row r="8" spans="1:8" x14ac:dyDescent="0.25">
      <c r="A8" s="3" t="s">
        <v>44</v>
      </c>
      <c r="B8" s="3" t="s">
        <v>71</v>
      </c>
      <c r="C8" s="3">
        <v>80</v>
      </c>
      <c r="D8" s="3">
        <v>120</v>
      </c>
      <c r="F8" s="2">
        <f t="shared" si="0"/>
        <v>20</v>
      </c>
      <c r="G8" s="27">
        <f t="shared" si="1"/>
        <v>0.25</v>
      </c>
      <c r="H8"/>
    </row>
    <row r="9" spans="1:8" x14ac:dyDescent="0.25">
      <c r="A9" s="3" t="s">
        <v>45</v>
      </c>
      <c r="B9" s="3" t="s">
        <v>71</v>
      </c>
      <c r="C9" s="3">
        <f t="shared" ref="C9:C13" si="2">D8</f>
        <v>120</v>
      </c>
      <c r="D9" s="3">
        <f t="shared" ref="D9:D10" si="3">C9+10</f>
        <v>130</v>
      </c>
      <c r="F9" s="2">
        <f t="shared" si="0"/>
        <v>10</v>
      </c>
      <c r="G9" s="27">
        <f t="shared" si="1"/>
        <v>8.3333333333333259E-2</v>
      </c>
      <c r="H9"/>
    </row>
    <row r="10" spans="1:8" x14ac:dyDescent="0.25">
      <c r="A10" s="3" t="s">
        <v>46</v>
      </c>
      <c r="B10" s="3" t="s">
        <v>71</v>
      </c>
      <c r="C10" s="3">
        <f t="shared" si="2"/>
        <v>130</v>
      </c>
      <c r="D10" s="3">
        <f t="shared" si="3"/>
        <v>140</v>
      </c>
      <c r="F10" s="2">
        <f t="shared" si="0"/>
        <v>10</v>
      </c>
      <c r="G10" s="27">
        <f t="shared" si="1"/>
        <v>7.6923076923076872E-2</v>
      </c>
      <c r="H10"/>
    </row>
    <row r="11" spans="1:8" x14ac:dyDescent="0.25">
      <c r="A11" s="3" t="s">
        <v>47</v>
      </c>
      <c r="B11" s="3" t="s">
        <v>71</v>
      </c>
      <c r="C11" s="3">
        <f t="shared" si="2"/>
        <v>140</v>
      </c>
      <c r="D11" s="3">
        <v>150</v>
      </c>
      <c r="F11" s="2">
        <f t="shared" si="0"/>
        <v>10</v>
      </c>
      <c r="G11" s="27">
        <f t="shared" si="1"/>
        <v>7.1428571428571397E-2</v>
      </c>
      <c r="H11"/>
    </row>
    <row r="12" spans="1:8" x14ac:dyDescent="0.25">
      <c r="A12" s="3" t="s">
        <v>48</v>
      </c>
      <c r="B12" s="3" t="s">
        <v>71</v>
      </c>
      <c r="C12" s="3">
        <f t="shared" si="2"/>
        <v>150</v>
      </c>
      <c r="D12" s="3">
        <v>160</v>
      </c>
      <c r="F12" s="2">
        <f t="shared" si="0"/>
        <v>10</v>
      </c>
      <c r="G12" s="27">
        <f t="shared" si="1"/>
        <v>6.6666666666666652E-2</v>
      </c>
      <c r="H12"/>
    </row>
    <row r="13" spans="1:8" x14ac:dyDescent="0.25">
      <c r="A13" s="3" t="s">
        <v>49</v>
      </c>
      <c r="B13" s="3" t="s">
        <v>71</v>
      </c>
      <c r="C13" s="3">
        <f t="shared" si="2"/>
        <v>160</v>
      </c>
      <c r="D13" s="3">
        <v>180</v>
      </c>
      <c r="F13" s="2">
        <f t="shared" si="0"/>
        <v>10</v>
      </c>
      <c r="G13" s="27">
        <f t="shared" si="1"/>
        <v>6.25E-2</v>
      </c>
      <c r="H13"/>
    </row>
    <row r="14" spans="1:8" x14ac:dyDescent="0.25">
      <c r="A14" s="3" t="s">
        <v>50</v>
      </c>
      <c r="B14" s="3" t="s">
        <v>72</v>
      </c>
      <c r="C14" s="3">
        <v>220</v>
      </c>
      <c r="D14" s="3">
        <v>260</v>
      </c>
      <c r="F14" s="2">
        <f t="shared" si="0"/>
        <v>20</v>
      </c>
      <c r="G14" s="27">
        <f t="shared" si="1"/>
        <v>9.0909090909090828E-2</v>
      </c>
      <c r="H14"/>
    </row>
    <row r="16" spans="1:8" x14ac:dyDescent="0.25">
      <c r="A16" s="25" t="s">
        <v>58</v>
      </c>
      <c r="B16" s="26" t="s">
        <v>65</v>
      </c>
      <c r="C16" s="26"/>
    </row>
    <row r="17" spans="1:8" x14ac:dyDescent="0.25">
      <c r="A17" s="25" t="s">
        <v>24</v>
      </c>
      <c r="B17" t="s">
        <v>25</v>
      </c>
    </row>
    <row r="18" spans="1:8" x14ac:dyDescent="0.25">
      <c r="A18" s="3" t="s">
        <v>60</v>
      </c>
      <c r="B18" s="3" t="s">
        <v>68</v>
      </c>
      <c r="C18" s="3" t="s">
        <v>61</v>
      </c>
      <c r="D18" s="3" t="s">
        <v>62</v>
      </c>
      <c r="F18" s="2"/>
      <c r="G18" s="27"/>
      <c r="H18"/>
    </row>
    <row r="19" spans="1:8" x14ac:dyDescent="0.25">
      <c r="A19" s="3" t="s">
        <v>63</v>
      </c>
      <c r="B19" s="3" t="s">
        <v>70</v>
      </c>
      <c r="C19" s="3">
        <v>40</v>
      </c>
      <c r="D19" s="3">
        <v>60</v>
      </c>
      <c r="F19" s="2"/>
      <c r="G19" s="27"/>
      <c r="H19"/>
    </row>
    <row r="20" spans="1:8" x14ac:dyDescent="0.25">
      <c r="A20" s="3" t="s">
        <v>64</v>
      </c>
      <c r="B20" s="3" t="s">
        <v>70</v>
      </c>
      <c r="C20" s="3">
        <v>70</v>
      </c>
      <c r="D20" s="3">
        <v>90</v>
      </c>
      <c r="F20" s="2"/>
      <c r="G20" s="27"/>
      <c r="H20"/>
    </row>
    <row r="21" spans="1:8" x14ac:dyDescent="0.25">
      <c r="A21" s="3" t="s">
        <v>64</v>
      </c>
      <c r="B21" s="3" t="s">
        <v>69</v>
      </c>
      <c r="C21" s="3">
        <v>70</v>
      </c>
      <c r="D21" s="3">
        <v>90</v>
      </c>
      <c r="F21" s="2"/>
      <c r="G21" s="27"/>
      <c r="H21"/>
    </row>
    <row r="22" spans="1:8" x14ac:dyDescent="0.25">
      <c r="A22" s="3" t="s">
        <v>43</v>
      </c>
      <c r="B22" s="3" t="s">
        <v>70</v>
      </c>
      <c r="C22" s="3">
        <v>90</v>
      </c>
      <c r="D22" s="3">
        <v>100</v>
      </c>
      <c r="F22" s="2"/>
      <c r="G22" s="27"/>
      <c r="H22"/>
    </row>
    <row r="23" spans="1:8" x14ac:dyDescent="0.25">
      <c r="A23" s="3" t="s">
        <v>44</v>
      </c>
      <c r="B23" s="3" t="s">
        <v>71</v>
      </c>
      <c r="C23" s="3">
        <v>100</v>
      </c>
      <c r="D23" s="3">
        <v>120</v>
      </c>
      <c r="F23" s="2"/>
      <c r="G23" s="27"/>
      <c r="H23"/>
    </row>
    <row r="24" spans="1:8" x14ac:dyDescent="0.25">
      <c r="A24" s="3" t="s">
        <v>45</v>
      </c>
      <c r="B24" s="3" t="s">
        <v>71</v>
      </c>
      <c r="C24" s="3">
        <v>130</v>
      </c>
      <c r="D24" s="3">
        <f>C24+10</f>
        <v>140</v>
      </c>
      <c r="F24" s="2"/>
      <c r="G24" s="27"/>
      <c r="H24"/>
    </row>
    <row r="25" spans="1:8" x14ac:dyDescent="0.25">
      <c r="A25" s="3" t="s">
        <v>46</v>
      </c>
      <c r="B25" s="3" t="s">
        <v>71</v>
      </c>
      <c r="C25" s="3">
        <v>140</v>
      </c>
      <c r="D25" s="3">
        <f t="shared" ref="D25" si="4">C25+10</f>
        <v>150</v>
      </c>
      <c r="F25" s="2"/>
      <c r="G25" s="27"/>
      <c r="H25"/>
    </row>
    <row r="26" spans="1:8" x14ac:dyDescent="0.25">
      <c r="A26" s="3" t="s">
        <v>47</v>
      </c>
      <c r="B26" s="3" t="s">
        <v>71</v>
      </c>
      <c r="C26" s="3">
        <v>150</v>
      </c>
      <c r="D26" s="3">
        <v>160</v>
      </c>
      <c r="F26" s="2"/>
      <c r="G26" s="27"/>
      <c r="H26"/>
    </row>
    <row r="27" spans="1:8" x14ac:dyDescent="0.25">
      <c r="A27" s="3" t="s">
        <v>48</v>
      </c>
      <c r="B27" s="3" t="s">
        <v>71</v>
      </c>
      <c r="C27" s="3">
        <f t="shared" ref="C27:C28" si="5">D26</f>
        <v>160</v>
      </c>
      <c r="D27" s="3">
        <v>170</v>
      </c>
      <c r="F27" s="2"/>
      <c r="G27" s="27"/>
      <c r="H27"/>
    </row>
    <row r="28" spans="1:8" x14ac:dyDescent="0.25">
      <c r="A28" s="3" t="s">
        <v>49</v>
      </c>
      <c r="B28" s="3" t="s">
        <v>71</v>
      </c>
      <c r="C28" s="3">
        <f t="shared" si="5"/>
        <v>170</v>
      </c>
      <c r="D28" s="3">
        <v>190</v>
      </c>
      <c r="F28" s="2"/>
      <c r="G28" s="27"/>
      <c r="H28"/>
    </row>
    <row r="29" spans="1:8" x14ac:dyDescent="0.25">
      <c r="A29" s="3" t="s">
        <v>50</v>
      </c>
      <c r="B29" s="3" t="s">
        <v>72</v>
      </c>
      <c r="C29" s="3">
        <v>240</v>
      </c>
      <c r="D29" s="3">
        <v>280</v>
      </c>
      <c r="F29" s="2"/>
      <c r="G29" s="27"/>
      <c r="H29"/>
    </row>
  </sheetData>
  <phoneticPr fontId="1" alignment="center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6222-0DB8-4A4E-A802-2465EEE3AE3C}">
  <dimension ref="A1:T180"/>
  <sheetViews>
    <sheetView workbookViewId="0">
      <selection activeCell="C5" sqref="C5"/>
    </sheetView>
  </sheetViews>
  <sheetFormatPr defaultRowHeight="15" x14ac:dyDescent="0.25"/>
  <cols>
    <col min="1" max="1" width="11.5703125" bestFit="1" customWidth="1"/>
    <col min="3" max="3" width="14" customWidth="1"/>
    <col min="4" max="4" width="9.28515625" customWidth="1"/>
    <col min="5" max="5" width="20.42578125" customWidth="1"/>
    <col min="6" max="6" width="20.28515625" customWidth="1"/>
    <col min="7" max="7" width="19.42578125" customWidth="1"/>
    <col min="8" max="8" width="18" customWidth="1"/>
    <col min="9" max="9" width="13.5703125" customWidth="1"/>
    <col min="10" max="10" width="10.28515625" customWidth="1"/>
    <col min="11" max="11" width="10.85546875" customWidth="1"/>
    <col min="12" max="12" width="16.140625" customWidth="1"/>
    <col min="13" max="13" width="9.7109375" customWidth="1"/>
    <col min="16" max="16" width="13.42578125" bestFit="1" customWidth="1"/>
    <col min="17" max="17" width="24" bestFit="1" customWidth="1"/>
    <col min="18" max="18" width="17.42578125" bestFit="1" customWidth="1"/>
    <col min="19" max="19" width="23.7109375" bestFit="1" customWidth="1"/>
    <col min="20" max="20" width="19.85546875" bestFit="1" customWidth="1"/>
    <col min="21" max="34" width="4.5703125" bestFit="1" customWidth="1"/>
    <col min="35" max="184" width="5.5703125" bestFit="1" customWidth="1"/>
    <col min="185" max="185" width="11.28515625" bestFit="1" customWidth="1"/>
    <col min="186" max="186" width="10.28515625" bestFit="1" customWidth="1"/>
    <col min="187" max="187" width="7.42578125" bestFit="1" customWidth="1"/>
    <col min="188" max="188" width="10.28515625" bestFit="1" customWidth="1"/>
    <col min="189" max="189" width="7.42578125" bestFit="1" customWidth="1"/>
    <col min="190" max="190" width="10.28515625" bestFit="1" customWidth="1"/>
    <col min="191" max="191" width="7.42578125" bestFit="1" customWidth="1"/>
    <col min="192" max="192" width="10.28515625" bestFit="1" customWidth="1"/>
    <col min="193" max="193" width="7.42578125" bestFit="1" customWidth="1"/>
    <col min="194" max="194" width="10.28515625" bestFit="1" customWidth="1"/>
    <col min="195" max="195" width="7.42578125" bestFit="1" customWidth="1"/>
    <col min="196" max="196" width="10.28515625" bestFit="1" customWidth="1"/>
    <col min="197" max="197" width="7.42578125" bestFit="1" customWidth="1"/>
    <col min="198" max="198" width="10.28515625" bestFit="1" customWidth="1"/>
    <col min="199" max="199" width="7.42578125" bestFit="1" customWidth="1"/>
    <col min="200" max="200" width="10.28515625" bestFit="1" customWidth="1"/>
    <col min="201" max="201" width="7.42578125" bestFit="1" customWidth="1"/>
    <col min="202" max="202" width="10.28515625" bestFit="1" customWidth="1"/>
    <col min="203" max="203" width="7.42578125" bestFit="1" customWidth="1"/>
    <col min="204" max="204" width="10.28515625" bestFit="1" customWidth="1"/>
    <col min="205" max="205" width="7.42578125" bestFit="1" customWidth="1"/>
    <col min="206" max="206" width="10.28515625" bestFit="1" customWidth="1"/>
    <col min="207" max="207" width="7.42578125" bestFit="1" customWidth="1"/>
    <col min="208" max="208" width="10.28515625" bestFit="1" customWidth="1"/>
    <col min="209" max="209" width="7.42578125" bestFit="1" customWidth="1"/>
    <col min="210" max="210" width="10.28515625" bestFit="1" customWidth="1"/>
    <col min="211" max="211" width="7.42578125" bestFit="1" customWidth="1"/>
    <col min="212" max="212" width="10.28515625" bestFit="1" customWidth="1"/>
    <col min="213" max="213" width="7.42578125" bestFit="1" customWidth="1"/>
    <col min="214" max="214" width="10.28515625" bestFit="1" customWidth="1"/>
    <col min="215" max="215" width="7.42578125" bestFit="1" customWidth="1"/>
    <col min="216" max="216" width="10.28515625" bestFit="1" customWidth="1"/>
    <col min="217" max="217" width="7.42578125" bestFit="1" customWidth="1"/>
    <col min="218" max="218" width="10.28515625" bestFit="1" customWidth="1"/>
    <col min="219" max="219" width="7.42578125" bestFit="1" customWidth="1"/>
    <col min="220" max="220" width="10.28515625" bestFit="1" customWidth="1"/>
    <col min="221" max="221" width="7.42578125" bestFit="1" customWidth="1"/>
    <col min="222" max="222" width="10.28515625" bestFit="1" customWidth="1"/>
    <col min="223" max="223" width="7.42578125" bestFit="1" customWidth="1"/>
    <col min="224" max="224" width="10.28515625" bestFit="1" customWidth="1"/>
    <col min="225" max="225" width="7.42578125" bestFit="1" customWidth="1"/>
    <col min="226" max="226" width="10.28515625" bestFit="1" customWidth="1"/>
    <col min="227" max="227" width="7.42578125" bestFit="1" customWidth="1"/>
    <col min="228" max="228" width="4.5703125" bestFit="1" customWidth="1"/>
    <col min="229" max="229" width="10.28515625" bestFit="1" customWidth="1"/>
    <col min="230" max="230" width="7.42578125" bestFit="1" customWidth="1"/>
    <col min="231" max="231" width="4.5703125" bestFit="1" customWidth="1"/>
    <col min="232" max="232" width="10.28515625" bestFit="1" customWidth="1"/>
    <col min="233" max="233" width="7.42578125" bestFit="1" customWidth="1"/>
    <col min="234" max="234" width="10.28515625" bestFit="1" customWidth="1"/>
    <col min="235" max="235" width="7.42578125" bestFit="1" customWidth="1"/>
    <col min="236" max="236" width="10.28515625" bestFit="1" customWidth="1"/>
    <col min="237" max="237" width="7.42578125" bestFit="1" customWidth="1"/>
    <col min="238" max="238" width="10.28515625" bestFit="1" customWidth="1"/>
    <col min="239" max="239" width="7.42578125" bestFit="1" customWidth="1"/>
    <col min="240" max="240" width="10.28515625" bestFit="1" customWidth="1"/>
    <col min="241" max="241" width="7.42578125" bestFit="1" customWidth="1"/>
    <col min="242" max="242" width="10.28515625" bestFit="1" customWidth="1"/>
    <col min="243" max="243" width="7.42578125" bestFit="1" customWidth="1"/>
    <col min="244" max="244" width="10.28515625" bestFit="1" customWidth="1"/>
    <col min="245" max="245" width="7.42578125" bestFit="1" customWidth="1"/>
    <col min="246" max="246" width="10.28515625" bestFit="1" customWidth="1"/>
    <col min="247" max="247" width="7.42578125" bestFit="1" customWidth="1"/>
    <col min="248" max="248" width="10.28515625" bestFit="1" customWidth="1"/>
    <col min="249" max="249" width="7.42578125" bestFit="1" customWidth="1"/>
    <col min="250" max="250" width="10.28515625" bestFit="1" customWidth="1"/>
    <col min="251" max="251" width="7.42578125" bestFit="1" customWidth="1"/>
    <col min="252" max="252" width="10.28515625" bestFit="1" customWidth="1"/>
    <col min="253" max="253" width="7.42578125" bestFit="1" customWidth="1"/>
    <col min="254" max="254" width="10.28515625" bestFit="1" customWidth="1"/>
    <col min="255" max="255" width="7.42578125" bestFit="1" customWidth="1"/>
    <col min="256" max="256" width="10.28515625" bestFit="1" customWidth="1"/>
    <col min="257" max="257" width="7.42578125" bestFit="1" customWidth="1"/>
    <col min="258" max="258" width="10.28515625" bestFit="1" customWidth="1"/>
    <col min="259" max="259" width="7.42578125" bestFit="1" customWidth="1"/>
    <col min="260" max="260" width="10.28515625" bestFit="1" customWidth="1"/>
    <col min="261" max="261" width="7.42578125" bestFit="1" customWidth="1"/>
    <col min="262" max="262" width="10.28515625" bestFit="1" customWidth="1"/>
    <col min="263" max="263" width="7.42578125" bestFit="1" customWidth="1"/>
    <col min="264" max="264" width="10.28515625" bestFit="1" customWidth="1"/>
    <col min="265" max="265" width="7.42578125" bestFit="1" customWidth="1"/>
    <col min="266" max="266" width="10.28515625" bestFit="1" customWidth="1"/>
    <col min="267" max="267" width="7.42578125" bestFit="1" customWidth="1"/>
    <col min="268" max="268" width="10.28515625" bestFit="1" customWidth="1"/>
    <col min="269" max="269" width="7.42578125" bestFit="1" customWidth="1"/>
    <col min="270" max="270" width="10.28515625" bestFit="1" customWidth="1"/>
    <col min="271" max="271" width="7.42578125" bestFit="1" customWidth="1"/>
    <col min="272" max="272" width="10.28515625" bestFit="1" customWidth="1"/>
    <col min="273" max="273" width="7.42578125" bestFit="1" customWidth="1"/>
    <col min="274" max="274" width="10.28515625" bestFit="1" customWidth="1"/>
    <col min="275" max="275" width="7.42578125" bestFit="1" customWidth="1"/>
    <col min="276" max="276" width="10.28515625" bestFit="1" customWidth="1"/>
    <col min="277" max="277" width="7.42578125" bestFit="1" customWidth="1"/>
    <col min="278" max="278" width="10.28515625" bestFit="1" customWidth="1"/>
    <col min="279" max="279" width="7.42578125" bestFit="1" customWidth="1"/>
    <col min="280" max="280" width="10.28515625" bestFit="1" customWidth="1"/>
    <col min="281" max="281" width="7.42578125" bestFit="1" customWidth="1"/>
    <col min="282" max="282" width="10.28515625" bestFit="1" customWidth="1"/>
    <col min="283" max="283" width="7.42578125" bestFit="1" customWidth="1"/>
    <col min="284" max="284" width="10.28515625" bestFit="1" customWidth="1"/>
    <col min="285" max="285" width="7.42578125" bestFit="1" customWidth="1"/>
    <col min="286" max="286" width="10.28515625" bestFit="1" customWidth="1"/>
    <col min="287" max="287" width="7.42578125" bestFit="1" customWidth="1"/>
    <col min="288" max="288" width="10.28515625" bestFit="1" customWidth="1"/>
    <col min="289" max="289" width="7.42578125" bestFit="1" customWidth="1"/>
    <col min="290" max="290" width="10.28515625" bestFit="1" customWidth="1"/>
    <col min="291" max="291" width="7.42578125" bestFit="1" customWidth="1"/>
    <col min="292" max="292" width="10.28515625" bestFit="1" customWidth="1"/>
    <col min="293" max="293" width="7.42578125" bestFit="1" customWidth="1"/>
    <col min="294" max="294" width="10.28515625" bestFit="1" customWidth="1"/>
    <col min="295" max="295" width="7.42578125" bestFit="1" customWidth="1"/>
    <col min="296" max="296" width="10.28515625" bestFit="1" customWidth="1"/>
    <col min="297" max="297" width="7.42578125" bestFit="1" customWidth="1"/>
    <col min="298" max="298" width="4.5703125" bestFit="1" customWidth="1"/>
    <col min="299" max="299" width="10.28515625" bestFit="1" customWidth="1"/>
    <col min="300" max="300" width="7.42578125" bestFit="1" customWidth="1"/>
    <col min="301" max="301" width="10.28515625" bestFit="1" customWidth="1"/>
    <col min="302" max="302" width="7.42578125" bestFit="1" customWidth="1"/>
    <col min="303" max="303" width="10.28515625" bestFit="1" customWidth="1"/>
    <col min="304" max="304" width="7.42578125" bestFit="1" customWidth="1"/>
    <col min="305" max="305" width="10.28515625" bestFit="1" customWidth="1"/>
    <col min="306" max="306" width="7.42578125" bestFit="1" customWidth="1"/>
    <col min="307" max="307" width="10.28515625" bestFit="1" customWidth="1"/>
    <col min="308" max="308" width="7.42578125" bestFit="1" customWidth="1"/>
    <col min="309" max="309" width="10.28515625" bestFit="1" customWidth="1"/>
    <col min="310" max="310" width="7.42578125" bestFit="1" customWidth="1"/>
    <col min="311" max="311" width="10.28515625" bestFit="1" customWidth="1"/>
    <col min="312" max="312" width="7.42578125" bestFit="1" customWidth="1"/>
    <col min="313" max="313" width="10.28515625" bestFit="1" customWidth="1"/>
    <col min="314" max="314" width="7.42578125" bestFit="1" customWidth="1"/>
    <col min="315" max="315" width="10.28515625" bestFit="1" customWidth="1"/>
    <col min="316" max="316" width="7.42578125" bestFit="1" customWidth="1"/>
    <col min="317" max="317" width="10.28515625" bestFit="1" customWidth="1"/>
    <col min="318" max="318" width="7.42578125" bestFit="1" customWidth="1"/>
    <col min="319" max="319" width="10.28515625" bestFit="1" customWidth="1"/>
    <col min="320" max="320" width="7.42578125" bestFit="1" customWidth="1"/>
    <col min="321" max="321" width="10.28515625" bestFit="1" customWidth="1"/>
    <col min="322" max="322" width="7.42578125" bestFit="1" customWidth="1"/>
    <col min="323" max="323" width="10.28515625" bestFit="1" customWidth="1"/>
    <col min="324" max="324" width="7.42578125" bestFit="1" customWidth="1"/>
    <col min="325" max="325" width="10.28515625" bestFit="1" customWidth="1"/>
    <col min="326" max="326" width="7.42578125" bestFit="1" customWidth="1"/>
    <col min="327" max="327" width="10.28515625" bestFit="1" customWidth="1"/>
    <col min="328" max="328" width="7.42578125" bestFit="1" customWidth="1"/>
    <col min="329" max="329" width="10.28515625" bestFit="1" customWidth="1"/>
    <col min="330" max="330" width="7.42578125" bestFit="1" customWidth="1"/>
    <col min="331" max="331" width="10.28515625" bestFit="1" customWidth="1"/>
    <col min="332" max="332" width="7.42578125" bestFit="1" customWidth="1"/>
    <col min="333" max="333" width="10.28515625" bestFit="1" customWidth="1"/>
    <col min="334" max="334" width="7.42578125" bestFit="1" customWidth="1"/>
    <col min="335" max="335" width="10.28515625" bestFit="1" customWidth="1"/>
    <col min="336" max="336" width="7.42578125" bestFit="1" customWidth="1"/>
    <col min="337" max="337" width="10.28515625" bestFit="1" customWidth="1"/>
    <col min="338" max="338" width="7.42578125" bestFit="1" customWidth="1"/>
    <col min="339" max="339" width="10.28515625" bestFit="1" customWidth="1"/>
    <col min="340" max="340" width="7.42578125" bestFit="1" customWidth="1"/>
    <col min="341" max="341" width="10.28515625" bestFit="1" customWidth="1"/>
    <col min="342" max="342" width="7.42578125" bestFit="1" customWidth="1"/>
    <col min="343" max="343" width="10.28515625" bestFit="1" customWidth="1"/>
    <col min="344" max="344" width="7.42578125" bestFit="1" customWidth="1"/>
    <col min="345" max="345" width="10.28515625" bestFit="1" customWidth="1"/>
    <col min="346" max="346" width="7.42578125" bestFit="1" customWidth="1"/>
    <col min="347" max="347" width="10.28515625" bestFit="1" customWidth="1"/>
    <col min="348" max="348" width="7.42578125" bestFit="1" customWidth="1"/>
    <col min="349" max="349" width="10.28515625" bestFit="1" customWidth="1"/>
    <col min="350" max="350" width="7.42578125" bestFit="1" customWidth="1"/>
    <col min="351" max="351" width="10.28515625" bestFit="1" customWidth="1"/>
    <col min="352" max="352" width="7.42578125" bestFit="1" customWidth="1"/>
    <col min="353" max="353" width="10.28515625" bestFit="1" customWidth="1"/>
    <col min="354" max="354" width="7.42578125" bestFit="1" customWidth="1"/>
    <col min="355" max="355" width="10.28515625" bestFit="1" customWidth="1"/>
    <col min="356" max="356" width="7.42578125" bestFit="1" customWidth="1"/>
    <col min="357" max="357" width="10.28515625" bestFit="1" customWidth="1"/>
    <col min="358" max="358" width="7.42578125" bestFit="1" customWidth="1"/>
    <col min="359" max="359" width="10.28515625" bestFit="1" customWidth="1"/>
    <col min="360" max="360" width="7.42578125" bestFit="1" customWidth="1"/>
    <col min="361" max="361" width="10.28515625" bestFit="1" customWidth="1"/>
    <col min="362" max="362" width="7.42578125" bestFit="1" customWidth="1"/>
    <col min="363" max="363" width="10.28515625" bestFit="1" customWidth="1"/>
    <col min="364" max="364" width="11.28515625" bestFit="1" customWidth="1"/>
  </cols>
  <sheetData>
    <row r="1" spans="1:20" x14ac:dyDescent="0.25">
      <c r="A1" s="45" t="s">
        <v>109</v>
      </c>
      <c r="B1" s="46" t="s">
        <v>60</v>
      </c>
      <c r="C1" s="46" t="s">
        <v>111</v>
      </c>
      <c r="D1" s="46" t="s">
        <v>112</v>
      </c>
      <c r="E1" s="46" t="s">
        <v>113</v>
      </c>
      <c r="F1" s="46" t="s">
        <v>114</v>
      </c>
      <c r="G1" s="46" t="s">
        <v>115</v>
      </c>
      <c r="H1" s="46" t="s">
        <v>116</v>
      </c>
      <c r="I1" s="46" t="s">
        <v>117</v>
      </c>
      <c r="J1" s="46" t="s">
        <v>118</v>
      </c>
      <c r="K1" s="46" t="s">
        <v>119</v>
      </c>
      <c r="L1" s="46" t="s">
        <v>120</v>
      </c>
      <c r="M1" s="47" t="s">
        <v>121</v>
      </c>
    </row>
    <row r="2" spans="1:20" x14ac:dyDescent="0.25">
      <c r="A2" s="43">
        <v>46002</v>
      </c>
      <c r="B2" s="40" t="s">
        <v>122</v>
      </c>
      <c r="C2" s="40" t="s">
        <v>110</v>
      </c>
      <c r="D2" s="41">
        <v>1</v>
      </c>
      <c r="E2" s="42">
        <v>98.5</v>
      </c>
      <c r="F2" s="42">
        <v>2.8</v>
      </c>
      <c r="G2" s="42">
        <v>136</v>
      </c>
      <c r="H2" s="41">
        <v>2836</v>
      </c>
      <c r="I2" s="42">
        <v>220.1</v>
      </c>
      <c r="J2" s="42">
        <v>-107.6</v>
      </c>
      <c r="K2" s="40" t="s">
        <v>123</v>
      </c>
      <c r="L2" s="42"/>
      <c r="M2" s="44">
        <f t="shared" ref="M2:M65" si="0">IF(E2="","",G2/E2)</f>
        <v>1.3807106598984771</v>
      </c>
    </row>
    <row r="3" spans="1:20" x14ac:dyDescent="0.25">
      <c r="A3" s="43">
        <v>46002</v>
      </c>
      <c r="B3" s="40" t="s">
        <v>122</v>
      </c>
      <c r="C3" s="40" t="s">
        <v>110</v>
      </c>
      <c r="D3" s="41">
        <v>2</v>
      </c>
      <c r="E3" s="42">
        <v>84.5</v>
      </c>
      <c r="F3" s="42">
        <v>2.1</v>
      </c>
      <c r="G3" s="42">
        <v>119</v>
      </c>
      <c r="H3" s="41">
        <v>2057</v>
      </c>
      <c r="I3" s="42">
        <v>183</v>
      </c>
      <c r="J3" s="42">
        <v>-58.4</v>
      </c>
      <c r="K3" s="40" t="s">
        <v>123</v>
      </c>
      <c r="L3" s="42"/>
      <c r="M3" s="44">
        <f t="shared" si="0"/>
        <v>1.4082840236686391</v>
      </c>
      <c r="P3" s="19" t="s">
        <v>32</v>
      </c>
      <c r="Q3" t="s">
        <v>130</v>
      </c>
      <c r="R3" t="s">
        <v>131</v>
      </c>
      <c r="S3" t="s">
        <v>132</v>
      </c>
      <c r="T3" t="s">
        <v>133</v>
      </c>
    </row>
    <row r="4" spans="1:20" x14ac:dyDescent="0.25">
      <c r="A4" s="43">
        <v>46002</v>
      </c>
      <c r="B4" s="40" t="s">
        <v>122</v>
      </c>
      <c r="C4" s="40" t="s">
        <v>110</v>
      </c>
      <c r="D4" s="41">
        <v>3</v>
      </c>
      <c r="E4" s="42">
        <v>89.9</v>
      </c>
      <c r="F4" s="42">
        <v>-2.5</v>
      </c>
      <c r="G4" s="42">
        <v>129.1</v>
      </c>
      <c r="H4" s="41">
        <v>3344</v>
      </c>
      <c r="I4" s="42">
        <v>177</v>
      </c>
      <c r="J4" s="42">
        <v>29.9</v>
      </c>
      <c r="K4" s="40" t="s">
        <v>124</v>
      </c>
      <c r="L4" s="42"/>
      <c r="M4" s="44">
        <f t="shared" si="0"/>
        <v>1.4360400444938819</v>
      </c>
      <c r="P4" s="53">
        <v>1</v>
      </c>
      <c r="Q4" s="54">
        <v>98.5</v>
      </c>
      <c r="R4" s="54">
        <v>220.1</v>
      </c>
      <c r="S4">
        <v>2.8</v>
      </c>
    </row>
    <row r="5" spans="1:20" x14ac:dyDescent="0.25">
      <c r="A5" s="43">
        <v>46002</v>
      </c>
      <c r="B5" s="40" t="s">
        <v>122</v>
      </c>
      <c r="C5" s="40" t="s">
        <v>110</v>
      </c>
      <c r="D5" s="41">
        <v>4</v>
      </c>
      <c r="E5" s="42">
        <v>88.7</v>
      </c>
      <c r="F5" s="42">
        <v>-2.9</v>
      </c>
      <c r="G5" s="42">
        <v>127</v>
      </c>
      <c r="H5" s="41">
        <v>2889</v>
      </c>
      <c r="I5" s="42">
        <v>144</v>
      </c>
      <c r="J5" s="42">
        <v>3.4</v>
      </c>
      <c r="K5" s="40" t="s">
        <v>124</v>
      </c>
      <c r="L5" s="42"/>
      <c r="M5" s="44">
        <f t="shared" si="0"/>
        <v>1.431792559188275</v>
      </c>
      <c r="P5" s="53">
        <v>2</v>
      </c>
      <c r="Q5" s="54">
        <v>84.5</v>
      </c>
      <c r="R5" s="54">
        <v>183</v>
      </c>
      <c r="S5">
        <v>2.1</v>
      </c>
    </row>
    <row r="6" spans="1:20" x14ac:dyDescent="0.25">
      <c r="A6" s="43">
        <v>46002</v>
      </c>
      <c r="B6" s="40" t="s">
        <v>122</v>
      </c>
      <c r="C6" s="40" t="s">
        <v>110</v>
      </c>
      <c r="D6" s="41">
        <v>5</v>
      </c>
      <c r="E6" s="42">
        <v>96.7</v>
      </c>
      <c r="F6" s="42">
        <v>0.3</v>
      </c>
      <c r="G6" s="42">
        <v>136.1</v>
      </c>
      <c r="H6" s="41">
        <v>1858</v>
      </c>
      <c r="I6" s="42">
        <v>116.1</v>
      </c>
      <c r="J6" s="42">
        <v>-100.5</v>
      </c>
      <c r="K6" s="40" t="s">
        <v>123</v>
      </c>
      <c r="L6" s="42"/>
      <c r="M6" s="44">
        <f t="shared" si="0"/>
        <v>1.4074457083764218</v>
      </c>
      <c r="P6" s="53">
        <v>3</v>
      </c>
      <c r="Q6" s="54">
        <v>89.9</v>
      </c>
      <c r="R6" s="54">
        <v>177</v>
      </c>
      <c r="S6">
        <v>-2.5</v>
      </c>
    </row>
    <row r="7" spans="1:20" x14ac:dyDescent="0.25">
      <c r="A7" s="43">
        <v>46002</v>
      </c>
      <c r="B7" s="40" t="s">
        <v>122</v>
      </c>
      <c r="C7" s="40" t="s">
        <v>110</v>
      </c>
      <c r="D7" s="41">
        <v>6</v>
      </c>
      <c r="E7" s="42">
        <v>93</v>
      </c>
      <c r="F7" s="42">
        <v>-0.3</v>
      </c>
      <c r="G7" s="42">
        <v>131.4</v>
      </c>
      <c r="H7" s="41">
        <v>1964</v>
      </c>
      <c r="I7" s="42">
        <v>96.3</v>
      </c>
      <c r="J7" s="42">
        <v>-35.4</v>
      </c>
      <c r="K7" s="40" t="s">
        <v>123</v>
      </c>
      <c r="L7" s="42"/>
      <c r="M7" s="44">
        <f t="shared" si="0"/>
        <v>1.4129032258064518</v>
      </c>
      <c r="P7" s="53">
        <v>4</v>
      </c>
      <c r="Q7" s="54">
        <v>88.7</v>
      </c>
      <c r="R7" s="54">
        <v>148</v>
      </c>
      <c r="S7">
        <v>-2.9</v>
      </c>
    </row>
    <row r="8" spans="1:20" x14ac:dyDescent="0.25">
      <c r="A8" s="43">
        <v>46002</v>
      </c>
      <c r="B8" s="40" t="s">
        <v>122</v>
      </c>
      <c r="C8" s="40" t="s">
        <v>110</v>
      </c>
      <c r="D8" s="41">
        <v>7</v>
      </c>
      <c r="E8" s="42">
        <v>98.6</v>
      </c>
      <c r="F8" s="42">
        <v>1</v>
      </c>
      <c r="G8" s="42">
        <v>141.80000000000001</v>
      </c>
      <c r="H8" s="41">
        <v>3885</v>
      </c>
      <c r="I8" s="42">
        <v>222.2</v>
      </c>
      <c r="J8" s="42">
        <v>70.2</v>
      </c>
      <c r="K8" s="40" t="s">
        <v>124</v>
      </c>
      <c r="L8" s="42"/>
      <c r="M8" s="44">
        <f t="shared" si="0"/>
        <v>1.438133874239351</v>
      </c>
      <c r="P8" s="53">
        <v>5</v>
      </c>
      <c r="Q8" s="54">
        <v>96.7</v>
      </c>
      <c r="R8" s="54">
        <v>157.80000000000001</v>
      </c>
      <c r="S8">
        <v>0.3</v>
      </c>
    </row>
    <row r="9" spans="1:20" x14ac:dyDescent="0.25">
      <c r="A9" s="43">
        <v>46002</v>
      </c>
      <c r="B9" s="40" t="s">
        <v>122</v>
      </c>
      <c r="C9" s="40" t="s">
        <v>110</v>
      </c>
      <c r="D9" s="41">
        <v>8</v>
      </c>
      <c r="E9" s="42">
        <v>94.7</v>
      </c>
      <c r="F9" s="42">
        <v>5.2</v>
      </c>
      <c r="G9" s="42">
        <v>139</v>
      </c>
      <c r="H9" s="41">
        <v>1930</v>
      </c>
      <c r="I9" s="42">
        <v>175</v>
      </c>
      <c r="J9" s="42">
        <v>-126.2</v>
      </c>
      <c r="K9" s="40" t="s">
        <v>123</v>
      </c>
      <c r="L9" s="42"/>
      <c r="M9" s="44">
        <f t="shared" si="0"/>
        <v>1.46779303062302</v>
      </c>
      <c r="P9" s="53">
        <v>6</v>
      </c>
      <c r="Q9" s="54">
        <v>93</v>
      </c>
      <c r="R9" s="54">
        <v>155.30000000000001</v>
      </c>
      <c r="S9">
        <v>-0.3</v>
      </c>
    </row>
    <row r="10" spans="1:20" x14ac:dyDescent="0.25">
      <c r="A10" s="43">
        <v>46002</v>
      </c>
      <c r="B10" s="40" t="s">
        <v>122</v>
      </c>
      <c r="C10" s="40" t="s">
        <v>110</v>
      </c>
      <c r="D10" s="41">
        <v>9</v>
      </c>
      <c r="E10" s="42">
        <v>96.7</v>
      </c>
      <c r="F10" s="42">
        <v>-1.4</v>
      </c>
      <c r="G10" s="42">
        <v>136.1</v>
      </c>
      <c r="H10" s="41">
        <v>1726</v>
      </c>
      <c r="I10" s="42">
        <v>181.3</v>
      </c>
      <c r="J10" s="42">
        <v>-75.900000000000006</v>
      </c>
      <c r="K10" s="40" t="s">
        <v>123</v>
      </c>
      <c r="L10" s="42"/>
      <c r="M10" s="44">
        <f t="shared" si="0"/>
        <v>1.4074457083764218</v>
      </c>
      <c r="P10" s="53">
        <v>7</v>
      </c>
      <c r="Q10" s="54">
        <v>98.6</v>
      </c>
      <c r="R10" s="54">
        <v>222.2</v>
      </c>
      <c r="S10">
        <v>1</v>
      </c>
    </row>
    <row r="11" spans="1:20" x14ac:dyDescent="0.25">
      <c r="A11" s="43">
        <v>46002</v>
      </c>
      <c r="B11" s="40" t="s">
        <v>122</v>
      </c>
      <c r="C11" s="40" t="s">
        <v>110</v>
      </c>
      <c r="D11" s="41">
        <v>10</v>
      </c>
      <c r="E11" s="42">
        <v>91.9</v>
      </c>
      <c r="F11" s="42">
        <v>-2.8</v>
      </c>
      <c r="G11" s="42">
        <v>130.6</v>
      </c>
      <c r="H11" s="41">
        <v>2572</v>
      </c>
      <c r="I11" s="42">
        <v>93.6</v>
      </c>
      <c r="J11" s="42">
        <v>-24.1</v>
      </c>
      <c r="K11" s="40" t="s">
        <v>123</v>
      </c>
      <c r="L11" s="42"/>
      <c r="M11" s="44">
        <f t="shared" si="0"/>
        <v>1.4211099020674645</v>
      </c>
      <c r="P11" s="53">
        <v>8</v>
      </c>
      <c r="Q11" s="54">
        <v>94.7</v>
      </c>
      <c r="R11" s="54">
        <v>175</v>
      </c>
      <c r="S11">
        <v>5.2</v>
      </c>
    </row>
    <row r="12" spans="1:20" x14ac:dyDescent="0.25">
      <c r="A12" s="43">
        <v>46002</v>
      </c>
      <c r="B12" s="40" t="s">
        <v>122</v>
      </c>
      <c r="C12" s="40" t="s">
        <v>110</v>
      </c>
      <c r="D12" s="41">
        <v>11</v>
      </c>
      <c r="E12" s="42">
        <v>91.3</v>
      </c>
      <c r="F12" s="42">
        <v>0.3</v>
      </c>
      <c r="G12" s="42">
        <v>128.1</v>
      </c>
      <c r="H12" s="41">
        <v>4809</v>
      </c>
      <c r="I12" s="42">
        <v>187.6</v>
      </c>
      <c r="J12" s="42">
        <v>150.19999999999999</v>
      </c>
      <c r="K12" s="40" t="s">
        <v>124</v>
      </c>
      <c r="L12" s="42"/>
      <c r="M12" s="44">
        <f t="shared" si="0"/>
        <v>1.4030668127053669</v>
      </c>
      <c r="P12" s="53">
        <v>9</v>
      </c>
      <c r="Q12" s="54">
        <v>96.7</v>
      </c>
      <c r="R12" s="54">
        <v>181.3</v>
      </c>
      <c r="S12">
        <v>-1.4</v>
      </c>
    </row>
    <row r="13" spans="1:20" x14ac:dyDescent="0.25">
      <c r="A13" s="43">
        <v>46002</v>
      </c>
      <c r="B13" s="40" t="s">
        <v>122</v>
      </c>
      <c r="C13" s="40" t="s">
        <v>110</v>
      </c>
      <c r="D13" s="41">
        <v>12</v>
      </c>
      <c r="E13" s="42">
        <v>86</v>
      </c>
      <c r="F13" s="42">
        <v>-1.7</v>
      </c>
      <c r="G13" s="42">
        <v>124.4</v>
      </c>
      <c r="H13" s="41">
        <v>2320</v>
      </c>
      <c r="I13" s="42">
        <v>147.80000000000001</v>
      </c>
      <c r="J13" s="42">
        <v>-39.4</v>
      </c>
      <c r="K13" s="40" t="s">
        <v>123</v>
      </c>
      <c r="L13" s="42"/>
      <c r="M13" s="44">
        <f t="shared" si="0"/>
        <v>1.4465116279069767</v>
      </c>
      <c r="P13" s="53">
        <v>10</v>
      </c>
      <c r="Q13" s="54">
        <v>91.9</v>
      </c>
      <c r="R13" s="54">
        <v>157</v>
      </c>
      <c r="S13">
        <v>-2.8</v>
      </c>
    </row>
    <row r="14" spans="1:20" x14ac:dyDescent="0.25">
      <c r="A14" s="43">
        <v>46002</v>
      </c>
      <c r="B14" s="40" t="s">
        <v>122</v>
      </c>
      <c r="C14" s="40" t="s">
        <v>110</v>
      </c>
      <c r="D14" s="41">
        <v>13</v>
      </c>
      <c r="E14" s="42">
        <v>96.1</v>
      </c>
      <c r="F14" s="42">
        <v>-3.6</v>
      </c>
      <c r="G14" s="42">
        <v>140.4</v>
      </c>
      <c r="H14" s="41">
        <v>3228</v>
      </c>
      <c r="I14" s="42">
        <v>207.1</v>
      </c>
      <c r="J14" s="42">
        <v>46.4</v>
      </c>
      <c r="K14" s="40" t="s">
        <v>124</v>
      </c>
      <c r="L14" s="42"/>
      <c r="M14" s="44">
        <f t="shared" si="0"/>
        <v>1.4609781477627473</v>
      </c>
      <c r="P14" s="53">
        <v>11</v>
      </c>
      <c r="Q14" s="54">
        <v>91.3</v>
      </c>
      <c r="R14" s="54">
        <v>187.6</v>
      </c>
      <c r="S14">
        <v>0.3</v>
      </c>
    </row>
    <row r="15" spans="1:20" x14ac:dyDescent="0.25">
      <c r="A15" s="43">
        <v>46002</v>
      </c>
      <c r="B15" s="40" t="s">
        <v>122</v>
      </c>
      <c r="C15" s="40" t="s">
        <v>110</v>
      </c>
      <c r="D15" s="41">
        <v>14</v>
      </c>
      <c r="E15" s="42">
        <v>87.1</v>
      </c>
      <c r="F15" s="42">
        <v>-0.2</v>
      </c>
      <c r="G15" s="42">
        <v>130.1</v>
      </c>
      <c r="H15" s="41">
        <v>1868</v>
      </c>
      <c r="I15" s="42">
        <v>93.4</v>
      </c>
      <c r="J15" s="42">
        <v>-32</v>
      </c>
      <c r="K15" s="40" t="s">
        <v>123</v>
      </c>
      <c r="L15" s="42"/>
      <c r="M15" s="44">
        <f t="shared" si="0"/>
        <v>1.4936854190585533</v>
      </c>
      <c r="P15" s="53">
        <v>12</v>
      </c>
      <c r="Q15" s="54">
        <v>86</v>
      </c>
      <c r="R15" s="54">
        <v>165.8</v>
      </c>
      <c r="S15">
        <v>-1.7</v>
      </c>
    </row>
    <row r="16" spans="1:20" x14ac:dyDescent="0.25">
      <c r="A16" s="43">
        <v>46002</v>
      </c>
      <c r="B16" s="40" t="s">
        <v>122</v>
      </c>
      <c r="C16" s="40" t="s">
        <v>110</v>
      </c>
      <c r="D16" s="41">
        <v>15</v>
      </c>
      <c r="E16" s="42">
        <v>91.2</v>
      </c>
      <c r="F16" s="42">
        <v>0.4</v>
      </c>
      <c r="G16" s="42">
        <v>128.80000000000001</v>
      </c>
      <c r="H16" s="41">
        <v>2834</v>
      </c>
      <c r="I16" s="42">
        <v>186.5</v>
      </c>
      <c r="J16" s="42">
        <v>-139.1</v>
      </c>
      <c r="K16" s="40" t="s">
        <v>123</v>
      </c>
      <c r="L16" s="42"/>
      <c r="M16" s="44">
        <f t="shared" si="0"/>
        <v>1.4122807017543861</v>
      </c>
      <c r="P16" s="53">
        <v>13</v>
      </c>
      <c r="Q16" s="54">
        <v>96.1</v>
      </c>
      <c r="R16" s="54">
        <v>207.1</v>
      </c>
      <c r="S16">
        <v>-3.6</v>
      </c>
    </row>
    <row r="17" spans="1:19" x14ac:dyDescent="0.25">
      <c r="A17" s="43">
        <v>46002</v>
      </c>
      <c r="B17" s="40" t="s">
        <v>122</v>
      </c>
      <c r="C17" s="40" t="s">
        <v>110</v>
      </c>
      <c r="D17" s="41">
        <v>16</v>
      </c>
      <c r="E17" s="42">
        <v>88.6</v>
      </c>
      <c r="F17" s="42">
        <v>-1</v>
      </c>
      <c r="G17" s="42">
        <v>117.1</v>
      </c>
      <c r="H17" s="41">
        <v>5655</v>
      </c>
      <c r="I17" s="42">
        <v>163.4</v>
      </c>
      <c r="J17" s="42">
        <v>-61.4</v>
      </c>
      <c r="K17" s="40" t="s">
        <v>123</v>
      </c>
      <c r="L17" s="42"/>
      <c r="M17" s="44">
        <f t="shared" si="0"/>
        <v>1.3216704288939052</v>
      </c>
      <c r="P17" s="53">
        <v>14</v>
      </c>
      <c r="Q17" s="54">
        <v>87.1</v>
      </c>
      <c r="R17" s="54">
        <v>166.9</v>
      </c>
      <c r="S17">
        <v>-0.2</v>
      </c>
    </row>
    <row r="18" spans="1:19" x14ac:dyDescent="0.25">
      <c r="A18" s="43">
        <v>46002</v>
      </c>
      <c r="B18" s="40" t="s">
        <v>122</v>
      </c>
      <c r="C18" s="40" t="s">
        <v>110</v>
      </c>
      <c r="D18" s="41">
        <v>17</v>
      </c>
      <c r="E18" s="42">
        <v>97.5</v>
      </c>
      <c r="F18" s="42">
        <v>-3.5</v>
      </c>
      <c r="G18" s="42">
        <v>143.80000000000001</v>
      </c>
      <c r="H18" s="41">
        <v>3125</v>
      </c>
      <c r="I18" s="42">
        <v>218.5</v>
      </c>
      <c r="J18" s="42">
        <v>44.4</v>
      </c>
      <c r="K18" s="40" t="s">
        <v>124</v>
      </c>
      <c r="L18" s="42"/>
      <c r="M18" s="44">
        <f t="shared" si="0"/>
        <v>1.4748717948717951</v>
      </c>
      <c r="P18" s="53">
        <v>15</v>
      </c>
      <c r="Q18" s="54">
        <v>91.2</v>
      </c>
      <c r="R18" s="54">
        <v>186.5</v>
      </c>
      <c r="S18">
        <v>0.4</v>
      </c>
    </row>
    <row r="19" spans="1:19" x14ac:dyDescent="0.25">
      <c r="A19" s="43">
        <v>46002</v>
      </c>
      <c r="B19" s="40" t="s">
        <v>122</v>
      </c>
      <c r="C19" s="40" t="s">
        <v>110</v>
      </c>
      <c r="D19" s="41">
        <v>18</v>
      </c>
      <c r="E19" s="42">
        <v>89</v>
      </c>
      <c r="F19" s="42">
        <v>2.1</v>
      </c>
      <c r="G19" s="42">
        <v>130.9</v>
      </c>
      <c r="H19" s="41">
        <v>2171</v>
      </c>
      <c r="I19" s="42">
        <v>194.2</v>
      </c>
      <c r="J19" s="42">
        <v>-17.399999999999999</v>
      </c>
      <c r="K19" s="40" t="s">
        <v>123</v>
      </c>
      <c r="L19" s="42"/>
      <c r="M19" s="44">
        <f t="shared" si="0"/>
        <v>1.4707865168539327</v>
      </c>
      <c r="P19" s="53">
        <v>16</v>
      </c>
      <c r="Q19" s="54">
        <v>88.6</v>
      </c>
      <c r="R19" s="54">
        <v>163.4</v>
      </c>
      <c r="S19">
        <v>-1</v>
      </c>
    </row>
    <row r="20" spans="1:19" x14ac:dyDescent="0.25">
      <c r="A20" s="43">
        <v>46002</v>
      </c>
      <c r="B20" s="40" t="s">
        <v>122</v>
      </c>
      <c r="C20" s="40" t="s">
        <v>110</v>
      </c>
      <c r="D20" s="41">
        <v>19</v>
      </c>
      <c r="E20" s="42">
        <v>91.4</v>
      </c>
      <c r="F20" s="42">
        <v>-1</v>
      </c>
      <c r="G20" s="42">
        <v>133.30000000000001</v>
      </c>
      <c r="H20" s="41">
        <v>4029</v>
      </c>
      <c r="I20" s="42">
        <v>200.5</v>
      </c>
      <c r="J20" s="42">
        <v>78.400000000000006</v>
      </c>
      <c r="K20" s="40" t="s">
        <v>124</v>
      </c>
      <c r="L20" s="42"/>
      <c r="M20" s="44">
        <f t="shared" si="0"/>
        <v>1.4584245076586433</v>
      </c>
      <c r="P20" s="53">
        <v>17</v>
      </c>
      <c r="Q20" s="54">
        <v>97.5</v>
      </c>
      <c r="R20" s="54">
        <v>218.5</v>
      </c>
      <c r="S20">
        <v>-3.5</v>
      </c>
    </row>
    <row r="21" spans="1:19" x14ac:dyDescent="0.25">
      <c r="A21" s="43">
        <v>46002</v>
      </c>
      <c r="B21" s="40" t="s">
        <v>122</v>
      </c>
      <c r="C21" s="40" t="s">
        <v>110</v>
      </c>
      <c r="D21" s="41">
        <v>20</v>
      </c>
      <c r="E21" s="42">
        <v>99.6</v>
      </c>
      <c r="F21" s="42">
        <v>-0.7</v>
      </c>
      <c r="G21" s="42">
        <v>138.4</v>
      </c>
      <c r="H21" s="41">
        <v>2907</v>
      </c>
      <c r="I21" s="42">
        <v>222.9</v>
      </c>
      <c r="J21" s="42">
        <v>-9.1999999999999993</v>
      </c>
      <c r="K21" s="40" t="s">
        <v>123</v>
      </c>
      <c r="L21" s="42"/>
      <c r="M21" s="44">
        <f t="shared" si="0"/>
        <v>1.3895582329317271</v>
      </c>
      <c r="P21" s="53">
        <v>18</v>
      </c>
      <c r="Q21" s="54">
        <v>89</v>
      </c>
      <c r="R21" s="54">
        <v>194.2</v>
      </c>
      <c r="S21">
        <v>2.1</v>
      </c>
    </row>
    <row r="22" spans="1:19" x14ac:dyDescent="0.25">
      <c r="A22" s="43">
        <v>46002</v>
      </c>
      <c r="B22" s="40" t="s">
        <v>122</v>
      </c>
      <c r="C22" s="40" t="s">
        <v>110</v>
      </c>
      <c r="D22" s="41">
        <v>21</v>
      </c>
      <c r="E22" s="42">
        <v>94.6</v>
      </c>
      <c r="F22" s="42">
        <v>1.1000000000000001</v>
      </c>
      <c r="G22" s="42">
        <v>141.4</v>
      </c>
      <c r="H22" s="41">
        <v>2068</v>
      </c>
      <c r="I22" s="42">
        <v>187.7</v>
      </c>
      <c r="J22" s="42">
        <v>-54.5</v>
      </c>
      <c r="K22" s="40" t="s">
        <v>123</v>
      </c>
      <c r="L22" s="42"/>
      <c r="M22" s="44">
        <f t="shared" si="0"/>
        <v>1.4947145877378436</v>
      </c>
      <c r="P22" s="53">
        <v>19</v>
      </c>
      <c r="Q22" s="54">
        <v>91.4</v>
      </c>
      <c r="R22" s="54">
        <v>200.5</v>
      </c>
      <c r="S22">
        <v>-1</v>
      </c>
    </row>
    <row r="23" spans="1:19" x14ac:dyDescent="0.25">
      <c r="A23" s="43">
        <v>46002</v>
      </c>
      <c r="B23" s="40" t="s">
        <v>122</v>
      </c>
      <c r="C23" s="40" t="s">
        <v>110</v>
      </c>
      <c r="D23" s="41">
        <v>22</v>
      </c>
      <c r="E23" s="42">
        <v>95.4</v>
      </c>
      <c r="F23" s="42">
        <v>3.4</v>
      </c>
      <c r="G23" s="42">
        <v>138.30000000000001</v>
      </c>
      <c r="H23" s="41">
        <v>2094</v>
      </c>
      <c r="I23" s="42">
        <v>191.3</v>
      </c>
      <c r="J23" s="42">
        <v>-37.1</v>
      </c>
      <c r="K23" s="40" t="s">
        <v>123</v>
      </c>
      <c r="L23" s="42"/>
      <c r="M23" s="44">
        <f t="shared" si="0"/>
        <v>1.449685534591195</v>
      </c>
      <c r="P23" s="53">
        <v>20</v>
      </c>
      <c r="Q23" s="54">
        <v>99.6</v>
      </c>
      <c r="R23" s="54">
        <v>222.9</v>
      </c>
      <c r="S23">
        <v>-0.7</v>
      </c>
    </row>
    <row r="24" spans="1:19" x14ac:dyDescent="0.25">
      <c r="A24" s="43">
        <v>46002</v>
      </c>
      <c r="B24" s="40" t="s">
        <v>122</v>
      </c>
      <c r="C24" s="40" t="s">
        <v>110</v>
      </c>
      <c r="D24" s="41">
        <v>23</v>
      </c>
      <c r="E24" s="42">
        <v>95.8</v>
      </c>
      <c r="F24" s="42">
        <v>3</v>
      </c>
      <c r="G24" s="42">
        <v>120.9</v>
      </c>
      <c r="H24" s="41">
        <v>5976</v>
      </c>
      <c r="I24" s="42">
        <v>154.80000000000001</v>
      </c>
      <c r="J24" s="42">
        <v>-84.4</v>
      </c>
      <c r="K24" s="40" t="s">
        <v>123</v>
      </c>
      <c r="L24" s="42"/>
      <c r="M24" s="44">
        <f t="shared" si="0"/>
        <v>1.2620041753653446</v>
      </c>
      <c r="P24" s="53">
        <v>21</v>
      </c>
      <c r="Q24" s="54">
        <v>94.6</v>
      </c>
      <c r="R24" s="54">
        <v>187.7</v>
      </c>
      <c r="S24">
        <v>1.1000000000000001</v>
      </c>
    </row>
    <row r="25" spans="1:19" x14ac:dyDescent="0.25">
      <c r="A25" s="43">
        <v>46002</v>
      </c>
      <c r="B25" s="40" t="s">
        <v>122</v>
      </c>
      <c r="C25" s="40" t="s">
        <v>110</v>
      </c>
      <c r="D25" s="41">
        <v>24</v>
      </c>
      <c r="E25" s="42">
        <v>89.8</v>
      </c>
      <c r="F25" s="42">
        <v>-0.8</v>
      </c>
      <c r="G25" s="42">
        <v>136.30000000000001</v>
      </c>
      <c r="H25" s="41">
        <v>1994</v>
      </c>
      <c r="I25" s="42">
        <v>124</v>
      </c>
      <c r="J25" s="42">
        <v>-21.1</v>
      </c>
      <c r="K25" s="40" t="s">
        <v>123</v>
      </c>
      <c r="L25" s="42"/>
      <c r="M25" s="44">
        <f t="shared" si="0"/>
        <v>1.5178173719376393</v>
      </c>
      <c r="P25" s="53">
        <v>22</v>
      </c>
      <c r="Q25" s="54">
        <v>95.4</v>
      </c>
      <c r="R25" s="54">
        <v>191.3</v>
      </c>
      <c r="S25">
        <v>3.4</v>
      </c>
    </row>
    <row r="26" spans="1:19" x14ac:dyDescent="0.25">
      <c r="A26" s="43">
        <v>46002</v>
      </c>
      <c r="B26" s="40" t="s">
        <v>122</v>
      </c>
      <c r="C26" s="40" t="s">
        <v>110</v>
      </c>
      <c r="D26" s="41">
        <v>25</v>
      </c>
      <c r="E26" s="42">
        <v>96.2</v>
      </c>
      <c r="F26" s="42">
        <v>4.4000000000000004</v>
      </c>
      <c r="G26" s="42">
        <v>141.69999999999999</v>
      </c>
      <c r="H26" s="41">
        <v>3210</v>
      </c>
      <c r="I26" s="42">
        <v>230.4</v>
      </c>
      <c r="J26" s="42">
        <v>70.400000000000006</v>
      </c>
      <c r="K26" s="40" t="s">
        <v>124</v>
      </c>
      <c r="L26" s="42"/>
      <c r="M26" s="44">
        <f t="shared" si="0"/>
        <v>1.4729729729729728</v>
      </c>
      <c r="P26" s="53">
        <v>23</v>
      </c>
      <c r="Q26" s="54">
        <v>95.8</v>
      </c>
      <c r="R26" s="54">
        <v>154.80000000000001</v>
      </c>
      <c r="S26">
        <v>3</v>
      </c>
    </row>
    <row r="27" spans="1:19" x14ac:dyDescent="0.25">
      <c r="A27" s="43">
        <v>46002</v>
      </c>
      <c r="B27" s="40" t="s">
        <v>122</v>
      </c>
      <c r="C27" s="40" t="s">
        <v>110</v>
      </c>
      <c r="D27" s="41">
        <v>26</v>
      </c>
      <c r="E27" s="42">
        <v>97.5</v>
      </c>
      <c r="F27" s="42">
        <v>1</v>
      </c>
      <c r="G27" s="42">
        <v>141.19999999999999</v>
      </c>
      <c r="H27" s="41">
        <v>3366</v>
      </c>
      <c r="I27" s="42">
        <v>222.4</v>
      </c>
      <c r="J27" s="42">
        <v>66.599999999999994</v>
      </c>
      <c r="K27" s="40" t="s">
        <v>124</v>
      </c>
      <c r="L27" s="42"/>
      <c r="M27" s="44">
        <f t="shared" si="0"/>
        <v>1.448205128205128</v>
      </c>
      <c r="P27" s="53">
        <v>24</v>
      </c>
      <c r="Q27" s="54">
        <v>89.8</v>
      </c>
      <c r="R27" s="54">
        <v>124</v>
      </c>
      <c r="S27">
        <v>-0.8</v>
      </c>
    </row>
    <row r="28" spans="1:19" x14ac:dyDescent="0.25">
      <c r="A28" s="43">
        <v>46002</v>
      </c>
      <c r="B28" s="40" t="s">
        <v>122</v>
      </c>
      <c r="C28" s="40" t="s">
        <v>110</v>
      </c>
      <c r="D28" s="41">
        <v>27</v>
      </c>
      <c r="E28" s="42">
        <v>97.4</v>
      </c>
      <c r="F28" s="42">
        <v>-2.9</v>
      </c>
      <c r="G28" s="42">
        <v>139.19999999999999</v>
      </c>
      <c r="H28" s="41">
        <v>2807</v>
      </c>
      <c r="I28" s="42">
        <v>143</v>
      </c>
      <c r="J28" s="42">
        <v>53.2</v>
      </c>
      <c r="K28" s="40" t="s">
        <v>124</v>
      </c>
      <c r="L28" s="42"/>
      <c r="M28" s="44">
        <f t="shared" si="0"/>
        <v>1.4291581108829567</v>
      </c>
      <c r="P28" s="53">
        <v>25</v>
      </c>
      <c r="Q28" s="54">
        <v>96.2</v>
      </c>
      <c r="R28" s="54">
        <v>230.4</v>
      </c>
      <c r="S28">
        <v>4.4000000000000004</v>
      </c>
    </row>
    <row r="29" spans="1:19" x14ac:dyDescent="0.25">
      <c r="A29" s="43">
        <v>46002</v>
      </c>
      <c r="B29" s="40" t="s">
        <v>122</v>
      </c>
      <c r="C29" s="40" t="s">
        <v>110</v>
      </c>
      <c r="D29" s="41">
        <v>28</v>
      </c>
      <c r="E29" s="42">
        <v>87.5</v>
      </c>
      <c r="F29" s="42">
        <v>-1</v>
      </c>
      <c r="G29" s="42">
        <v>117.7</v>
      </c>
      <c r="H29" s="41">
        <v>1567</v>
      </c>
      <c r="I29" s="42">
        <v>24.5</v>
      </c>
      <c r="J29" s="42">
        <v>-14.8</v>
      </c>
      <c r="K29" s="40" t="s">
        <v>123</v>
      </c>
      <c r="L29" s="42"/>
      <c r="M29" s="44">
        <f t="shared" si="0"/>
        <v>1.3451428571428572</v>
      </c>
      <c r="P29" s="53">
        <v>26</v>
      </c>
      <c r="Q29" s="54">
        <v>97.5</v>
      </c>
      <c r="R29" s="54">
        <v>222.4</v>
      </c>
      <c r="S29">
        <v>1</v>
      </c>
    </row>
    <row r="30" spans="1:19" x14ac:dyDescent="0.25">
      <c r="A30" s="43">
        <v>46002</v>
      </c>
      <c r="B30" s="40" t="s">
        <v>122</v>
      </c>
      <c r="C30" s="40" t="s">
        <v>110</v>
      </c>
      <c r="D30" s="41">
        <v>29</v>
      </c>
      <c r="E30" s="42">
        <v>91.7</v>
      </c>
      <c r="F30" s="42">
        <v>-1.1000000000000001</v>
      </c>
      <c r="G30" s="42">
        <v>128.9</v>
      </c>
      <c r="H30" s="41">
        <v>2769</v>
      </c>
      <c r="I30" s="42">
        <v>201.7</v>
      </c>
      <c r="J30" s="42">
        <v>-63</v>
      </c>
      <c r="K30" s="40" t="s">
        <v>123</v>
      </c>
      <c r="L30" s="42"/>
      <c r="M30" s="44">
        <f t="shared" si="0"/>
        <v>1.4056706652126501</v>
      </c>
      <c r="P30" s="53">
        <v>27</v>
      </c>
      <c r="Q30" s="54">
        <v>97.4</v>
      </c>
      <c r="R30" s="54">
        <v>143</v>
      </c>
      <c r="S30">
        <v>-2.9</v>
      </c>
    </row>
    <row r="31" spans="1:19" x14ac:dyDescent="0.25">
      <c r="A31" s="43">
        <v>46002</v>
      </c>
      <c r="B31" s="40" t="s">
        <v>122</v>
      </c>
      <c r="C31" s="40" t="s">
        <v>110</v>
      </c>
      <c r="D31" s="41">
        <v>30</v>
      </c>
      <c r="E31" s="42">
        <v>87.3</v>
      </c>
      <c r="F31" s="42">
        <v>1.6</v>
      </c>
      <c r="G31" s="42">
        <v>123.4</v>
      </c>
      <c r="H31" s="41">
        <v>1759</v>
      </c>
      <c r="I31" s="42">
        <v>130.9</v>
      </c>
      <c r="J31" s="42">
        <v>-61</v>
      </c>
      <c r="K31" s="40" t="s">
        <v>123</v>
      </c>
      <c r="L31" s="42"/>
      <c r="M31" s="44">
        <f t="shared" si="0"/>
        <v>1.4135166093928981</v>
      </c>
      <c r="P31" s="53">
        <v>28</v>
      </c>
      <c r="Q31" s="54">
        <v>87.5</v>
      </c>
      <c r="R31" s="54">
        <v>139.9</v>
      </c>
      <c r="S31">
        <v>-1</v>
      </c>
    </row>
    <row r="32" spans="1:19" x14ac:dyDescent="0.25">
      <c r="A32" s="43">
        <v>46002</v>
      </c>
      <c r="B32" s="40" t="s">
        <v>122</v>
      </c>
      <c r="C32" s="40" t="s">
        <v>110</v>
      </c>
      <c r="D32" s="41">
        <v>31</v>
      </c>
      <c r="E32" s="42">
        <v>93.9</v>
      </c>
      <c r="F32" s="42">
        <v>0.2</v>
      </c>
      <c r="G32" s="42">
        <v>130.9</v>
      </c>
      <c r="H32" s="41">
        <v>4070</v>
      </c>
      <c r="I32" s="42">
        <v>187.8</v>
      </c>
      <c r="J32" s="42">
        <v>92.1</v>
      </c>
      <c r="K32" s="40" t="s">
        <v>124</v>
      </c>
      <c r="L32" s="42"/>
      <c r="M32" s="44">
        <f t="shared" si="0"/>
        <v>1.3940362087326943</v>
      </c>
      <c r="P32" s="53">
        <v>29</v>
      </c>
      <c r="Q32" s="54">
        <v>91.7</v>
      </c>
      <c r="R32" s="54">
        <v>201.7</v>
      </c>
      <c r="S32">
        <v>-1.1000000000000001</v>
      </c>
    </row>
    <row r="33" spans="1:19" x14ac:dyDescent="0.25">
      <c r="A33" s="43">
        <v>46002</v>
      </c>
      <c r="B33" s="40" t="s">
        <v>122</v>
      </c>
      <c r="C33" s="40" t="s">
        <v>110</v>
      </c>
      <c r="D33" s="41">
        <v>32</v>
      </c>
      <c r="E33" s="42">
        <v>85.8</v>
      </c>
      <c r="F33" s="42">
        <v>0.9</v>
      </c>
      <c r="G33" s="42">
        <v>126.4</v>
      </c>
      <c r="H33" s="41">
        <v>2089</v>
      </c>
      <c r="I33" s="42">
        <v>167.3</v>
      </c>
      <c r="J33" s="42">
        <v>24.7</v>
      </c>
      <c r="K33" s="40" t="s">
        <v>124</v>
      </c>
      <c r="L33" s="42"/>
      <c r="M33" s="44">
        <f t="shared" si="0"/>
        <v>1.4731934731934733</v>
      </c>
      <c r="P33" s="53">
        <v>30</v>
      </c>
      <c r="Q33" s="54">
        <v>87.3</v>
      </c>
      <c r="R33" s="54">
        <v>169</v>
      </c>
      <c r="S33">
        <v>1.6</v>
      </c>
    </row>
    <row r="34" spans="1:19" x14ac:dyDescent="0.25">
      <c r="A34" s="43">
        <v>46002</v>
      </c>
      <c r="B34" s="40" t="s">
        <v>122</v>
      </c>
      <c r="C34" s="40" t="s">
        <v>110</v>
      </c>
      <c r="D34" s="41">
        <v>33</v>
      </c>
      <c r="E34" s="42">
        <v>90.7</v>
      </c>
      <c r="F34" s="42">
        <v>-1.2</v>
      </c>
      <c r="G34" s="42">
        <v>128.19999999999999</v>
      </c>
      <c r="H34" s="41">
        <v>2088</v>
      </c>
      <c r="I34" s="42">
        <v>125.1</v>
      </c>
      <c r="J34" s="42">
        <v>-98</v>
      </c>
      <c r="K34" s="40" t="s">
        <v>123</v>
      </c>
      <c r="L34" s="42"/>
      <c r="M34" s="44">
        <f t="shared" si="0"/>
        <v>1.4134509371554573</v>
      </c>
      <c r="P34" s="53">
        <v>31</v>
      </c>
      <c r="Q34" s="54">
        <v>93.9</v>
      </c>
      <c r="R34" s="54">
        <v>187.8</v>
      </c>
      <c r="S34">
        <v>0.2</v>
      </c>
    </row>
    <row r="35" spans="1:19" x14ac:dyDescent="0.25">
      <c r="A35" s="43">
        <v>46002</v>
      </c>
      <c r="B35" s="40" t="s">
        <v>122</v>
      </c>
      <c r="C35" s="40" t="s">
        <v>110</v>
      </c>
      <c r="D35" s="41">
        <v>34</v>
      </c>
      <c r="E35" s="42">
        <v>95.3</v>
      </c>
      <c r="F35" s="42">
        <v>-1</v>
      </c>
      <c r="G35" s="42">
        <v>136.30000000000001</v>
      </c>
      <c r="H35" s="41">
        <v>1991</v>
      </c>
      <c r="I35" s="42">
        <v>107.5</v>
      </c>
      <c r="J35" s="42">
        <v>-27.6</v>
      </c>
      <c r="K35" s="40" t="s">
        <v>123</v>
      </c>
      <c r="L35" s="42"/>
      <c r="M35" s="44">
        <f t="shared" si="0"/>
        <v>1.4302203567681009</v>
      </c>
      <c r="P35" s="53">
        <v>32</v>
      </c>
      <c r="Q35" s="54">
        <v>85.8</v>
      </c>
      <c r="R35" s="54">
        <v>167.3</v>
      </c>
      <c r="S35">
        <v>0.9</v>
      </c>
    </row>
    <row r="36" spans="1:19" x14ac:dyDescent="0.25">
      <c r="A36" s="43">
        <v>46002</v>
      </c>
      <c r="B36" s="40" t="s">
        <v>122</v>
      </c>
      <c r="C36" s="40" t="s">
        <v>110</v>
      </c>
      <c r="D36" s="41">
        <v>35</v>
      </c>
      <c r="E36" s="42">
        <v>93.6</v>
      </c>
      <c r="F36" s="42">
        <v>-3.2</v>
      </c>
      <c r="G36" s="42">
        <v>126.5</v>
      </c>
      <c r="H36" s="41">
        <v>4013</v>
      </c>
      <c r="I36" s="42">
        <v>185.3</v>
      </c>
      <c r="J36" s="42">
        <v>47.3</v>
      </c>
      <c r="K36" s="40" t="s">
        <v>124</v>
      </c>
      <c r="L36" s="42"/>
      <c r="M36" s="44">
        <f t="shared" si="0"/>
        <v>1.3514957264957266</v>
      </c>
      <c r="P36" s="53">
        <v>33</v>
      </c>
      <c r="Q36" s="54">
        <v>90.7</v>
      </c>
      <c r="R36" s="54">
        <v>163.4</v>
      </c>
      <c r="S36">
        <v>-1.2</v>
      </c>
    </row>
    <row r="37" spans="1:19" x14ac:dyDescent="0.25">
      <c r="A37" s="43">
        <v>46002</v>
      </c>
      <c r="B37" s="40" t="s">
        <v>122</v>
      </c>
      <c r="C37" s="40" t="s">
        <v>110</v>
      </c>
      <c r="D37" s="41">
        <v>36</v>
      </c>
      <c r="E37" s="42">
        <v>90.6</v>
      </c>
      <c r="F37" s="42">
        <v>-3.4</v>
      </c>
      <c r="G37" s="42">
        <v>123.4</v>
      </c>
      <c r="H37" s="41">
        <v>2902</v>
      </c>
      <c r="I37" s="42">
        <v>181.9</v>
      </c>
      <c r="J37" s="42">
        <v>-75.7</v>
      </c>
      <c r="K37" s="40" t="s">
        <v>123</v>
      </c>
      <c r="L37" s="42"/>
      <c r="M37" s="44">
        <f t="shared" si="0"/>
        <v>1.3620309050772628</v>
      </c>
      <c r="P37" s="53">
        <v>34</v>
      </c>
      <c r="Q37" s="54">
        <v>95.3</v>
      </c>
      <c r="R37" s="54">
        <v>175.8</v>
      </c>
      <c r="S37">
        <v>-1</v>
      </c>
    </row>
    <row r="38" spans="1:19" x14ac:dyDescent="0.25">
      <c r="A38" s="43">
        <v>46002</v>
      </c>
      <c r="B38" s="40" t="s">
        <v>122</v>
      </c>
      <c r="C38" s="40" t="s">
        <v>110</v>
      </c>
      <c r="D38" s="41">
        <v>37</v>
      </c>
      <c r="E38" s="42">
        <v>100.2</v>
      </c>
      <c r="F38" s="42">
        <v>2.2999999999999998</v>
      </c>
      <c r="G38" s="42">
        <v>140.19999999999999</v>
      </c>
      <c r="H38" s="41">
        <v>3186</v>
      </c>
      <c r="I38" s="42">
        <v>199.3</v>
      </c>
      <c r="J38" s="42">
        <v>37.9</v>
      </c>
      <c r="K38" s="40" t="s">
        <v>124</v>
      </c>
      <c r="L38" s="42"/>
      <c r="M38" s="44">
        <f t="shared" si="0"/>
        <v>1.3992015968063871</v>
      </c>
      <c r="P38" s="53">
        <v>35</v>
      </c>
      <c r="Q38" s="54">
        <v>93.6</v>
      </c>
      <c r="R38" s="54">
        <v>185.3</v>
      </c>
      <c r="S38">
        <v>-3.2</v>
      </c>
    </row>
    <row r="39" spans="1:19" x14ac:dyDescent="0.25">
      <c r="A39" s="43">
        <v>46002</v>
      </c>
      <c r="B39" s="40" t="s">
        <v>122</v>
      </c>
      <c r="C39" s="40" t="s">
        <v>110</v>
      </c>
      <c r="D39" s="41">
        <v>38</v>
      </c>
      <c r="E39" s="42">
        <v>84.5</v>
      </c>
      <c r="F39" s="42">
        <v>-0.4</v>
      </c>
      <c r="G39" s="42">
        <v>124.7</v>
      </c>
      <c r="H39" s="41">
        <v>3008</v>
      </c>
      <c r="I39" s="42">
        <v>180.5</v>
      </c>
      <c r="J39" s="42">
        <v>47.6</v>
      </c>
      <c r="K39" s="40" t="s">
        <v>124</v>
      </c>
      <c r="L39" s="42"/>
      <c r="M39" s="44">
        <f t="shared" si="0"/>
        <v>1.4757396449704143</v>
      </c>
      <c r="P39" s="53">
        <v>36</v>
      </c>
      <c r="Q39" s="54">
        <v>90.6</v>
      </c>
      <c r="R39" s="54">
        <v>181.9</v>
      </c>
      <c r="S39">
        <v>-3.4</v>
      </c>
    </row>
    <row r="40" spans="1:19" x14ac:dyDescent="0.25">
      <c r="A40" s="43">
        <v>46002</v>
      </c>
      <c r="B40" s="40" t="s">
        <v>122</v>
      </c>
      <c r="C40" s="40" t="s">
        <v>110</v>
      </c>
      <c r="D40" s="41">
        <v>39</v>
      </c>
      <c r="E40" s="42">
        <v>91.1</v>
      </c>
      <c r="F40" s="42">
        <v>-0.4</v>
      </c>
      <c r="G40" s="42">
        <v>101.3</v>
      </c>
      <c r="H40" s="41">
        <v>5494</v>
      </c>
      <c r="I40" s="42">
        <v>125.7</v>
      </c>
      <c r="J40" s="42">
        <v>-33.799999999999997</v>
      </c>
      <c r="K40" s="40" t="s">
        <v>123</v>
      </c>
      <c r="L40" s="42"/>
      <c r="M40" s="44">
        <f t="shared" si="0"/>
        <v>1.1119648737650933</v>
      </c>
      <c r="P40" s="53">
        <v>37</v>
      </c>
      <c r="Q40" s="54">
        <v>100.2</v>
      </c>
      <c r="R40" s="54">
        <v>199.3</v>
      </c>
      <c r="S40">
        <v>2.2999999999999998</v>
      </c>
    </row>
    <row r="41" spans="1:19" x14ac:dyDescent="0.25">
      <c r="A41" s="43">
        <v>46002</v>
      </c>
      <c r="B41" s="40" t="s">
        <v>122</v>
      </c>
      <c r="C41" s="40" t="s">
        <v>110</v>
      </c>
      <c r="D41" s="41">
        <v>40</v>
      </c>
      <c r="E41" s="42">
        <v>88.5</v>
      </c>
      <c r="F41" s="42">
        <v>-1.6</v>
      </c>
      <c r="G41" s="42">
        <v>128.4</v>
      </c>
      <c r="H41" s="41">
        <v>3052</v>
      </c>
      <c r="I41" s="42">
        <v>179.4</v>
      </c>
      <c r="J41" s="42">
        <v>60.8</v>
      </c>
      <c r="K41" s="40" t="s">
        <v>124</v>
      </c>
      <c r="L41" s="42"/>
      <c r="M41" s="44">
        <f t="shared" si="0"/>
        <v>1.4508474576271186</v>
      </c>
      <c r="P41" s="53">
        <v>38</v>
      </c>
      <c r="Q41" s="54">
        <v>84.5</v>
      </c>
      <c r="R41" s="54">
        <v>180.5</v>
      </c>
      <c r="S41">
        <v>-0.4</v>
      </c>
    </row>
    <row r="42" spans="1:19" x14ac:dyDescent="0.25">
      <c r="A42" s="43">
        <v>46002</v>
      </c>
      <c r="B42" s="40" t="s">
        <v>122</v>
      </c>
      <c r="C42" s="40" t="s">
        <v>110</v>
      </c>
      <c r="D42" s="41">
        <v>41</v>
      </c>
      <c r="E42" s="42">
        <v>88.9</v>
      </c>
      <c r="F42" s="42">
        <v>-0.5</v>
      </c>
      <c r="G42" s="42">
        <v>132.19999999999999</v>
      </c>
      <c r="H42" s="41">
        <v>2097</v>
      </c>
      <c r="I42" s="42">
        <v>175.4</v>
      </c>
      <c r="J42" s="42">
        <v>0.1</v>
      </c>
      <c r="K42" s="40" t="s">
        <v>124</v>
      </c>
      <c r="L42" s="42"/>
      <c r="M42" s="44">
        <f t="shared" si="0"/>
        <v>1.4870641169853767</v>
      </c>
      <c r="P42" s="53">
        <v>39</v>
      </c>
      <c r="Q42" s="54">
        <v>91.1</v>
      </c>
      <c r="R42" s="54">
        <v>163.30000000000001</v>
      </c>
      <c r="S42">
        <v>-0.4</v>
      </c>
    </row>
    <row r="43" spans="1:19" x14ac:dyDescent="0.25">
      <c r="A43" s="43">
        <v>46002</v>
      </c>
      <c r="B43" s="40" t="s">
        <v>122</v>
      </c>
      <c r="C43" s="40" t="s">
        <v>110</v>
      </c>
      <c r="D43" s="41">
        <v>42</v>
      </c>
      <c r="E43" s="42">
        <v>97.8</v>
      </c>
      <c r="F43" s="42">
        <v>-2.7</v>
      </c>
      <c r="G43" s="42">
        <v>132.9</v>
      </c>
      <c r="H43" s="41">
        <v>4222</v>
      </c>
      <c r="I43" s="42">
        <v>201.3</v>
      </c>
      <c r="J43" s="42">
        <v>80.599999999999994</v>
      </c>
      <c r="K43" s="40" t="s">
        <v>124</v>
      </c>
      <c r="L43" s="42"/>
      <c r="M43" s="44">
        <f t="shared" si="0"/>
        <v>1.3588957055214725</v>
      </c>
      <c r="P43" s="53">
        <v>40</v>
      </c>
      <c r="Q43" s="54">
        <v>88.5</v>
      </c>
      <c r="R43" s="54">
        <v>179.4</v>
      </c>
      <c r="S43">
        <v>-1.6</v>
      </c>
    </row>
    <row r="44" spans="1:19" x14ac:dyDescent="0.25">
      <c r="A44" s="43">
        <v>46002</v>
      </c>
      <c r="B44" s="40" t="s">
        <v>49</v>
      </c>
      <c r="C44" s="40" t="s">
        <v>125</v>
      </c>
      <c r="D44" s="41">
        <v>1</v>
      </c>
      <c r="E44" s="42">
        <v>78.099999999999994</v>
      </c>
      <c r="F44" s="42"/>
      <c r="G44" s="42">
        <v>109.8</v>
      </c>
      <c r="H44" s="41">
        <v>3638</v>
      </c>
      <c r="I44" s="42">
        <v>147.19999999999999</v>
      </c>
      <c r="J44" s="42">
        <v>-6.9</v>
      </c>
      <c r="K44" s="40" t="s">
        <v>123</v>
      </c>
      <c r="L44" s="42"/>
      <c r="M44" s="44">
        <f t="shared" si="0"/>
        <v>1.4058898847631243</v>
      </c>
      <c r="P44" s="53">
        <v>41</v>
      </c>
      <c r="Q44" s="54">
        <v>88.9</v>
      </c>
      <c r="R44" s="54">
        <v>175.4</v>
      </c>
      <c r="S44">
        <v>-0.5</v>
      </c>
    </row>
    <row r="45" spans="1:19" x14ac:dyDescent="0.25">
      <c r="A45" s="43">
        <v>46002</v>
      </c>
      <c r="B45" s="40" t="s">
        <v>49</v>
      </c>
      <c r="C45" s="40" t="s">
        <v>125</v>
      </c>
      <c r="D45" s="41">
        <v>2</v>
      </c>
      <c r="E45" s="42">
        <v>79.099999999999994</v>
      </c>
      <c r="F45" s="42"/>
      <c r="G45" s="42">
        <v>108.8</v>
      </c>
      <c r="H45" s="41">
        <v>3626</v>
      </c>
      <c r="I45" s="42">
        <v>129.69999999999999</v>
      </c>
      <c r="J45" s="42">
        <v>10.1</v>
      </c>
      <c r="K45" s="40" t="s">
        <v>124</v>
      </c>
      <c r="L45" s="42"/>
      <c r="M45" s="44">
        <f t="shared" si="0"/>
        <v>1.3754740834386854</v>
      </c>
      <c r="P45" s="53">
        <v>42</v>
      </c>
      <c r="Q45" s="54">
        <v>97.8</v>
      </c>
      <c r="R45" s="54">
        <v>201.3</v>
      </c>
      <c r="S45">
        <v>-2.7</v>
      </c>
    </row>
    <row r="46" spans="1:19" x14ac:dyDescent="0.25">
      <c r="A46" s="43">
        <v>46002</v>
      </c>
      <c r="B46" s="40" t="s">
        <v>49</v>
      </c>
      <c r="C46" s="40" t="s">
        <v>125</v>
      </c>
      <c r="D46" s="41">
        <v>3</v>
      </c>
      <c r="E46" s="42">
        <v>79.099999999999994</v>
      </c>
      <c r="F46" s="42"/>
      <c r="G46" s="42">
        <v>96.3</v>
      </c>
      <c r="H46" s="41">
        <v>2611</v>
      </c>
      <c r="I46" s="42">
        <v>105.6</v>
      </c>
      <c r="J46" s="42">
        <v>-22</v>
      </c>
      <c r="K46" s="40" t="s">
        <v>123</v>
      </c>
      <c r="L46" s="42"/>
      <c r="M46" s="44">
        <f t="shared" si="0"/>
        <v>1.2174462705436158</v>
      </c>
      <c r="P46" s="53">
        <v>43</v>
      </c>
      <c r="Q46" s="54">
        <v>77.2</v>
      </c>
      <c r="R46" s="54">
        <v>151.4</v>
      </c>
    </row>
    <row r="47" spans="1:19" x14ac:dyDescent="0.25">
      <c r="A47" s="43">
        <v>46002</v>
      </c>
      <c r="B47" s="40" t="s">
        <v>49</v>
      </c>
      <c r="C47" s="40" t="s">
        <v>125</v>
      </c>
      <c r="D47" s="41">
        <v>4</v>
      </c>
      <c r="E47" s="42">
        <v>78.5</v>
      </c>
      <c r="F47" s="42"/>
      <c r="G47" s="42">
        <v>105.6</v>
      </c>
      <c r="H47" s="41">
        <v>3817</v>
      </c>
      <c r="I47" s="42">
        <v>147.4</v>
      </c>
      <c r="J47" s="42">
        <v>15.7</v>
      </c>
      <c r="K47" s="40" t="s">
        <v>124</v>
      </c>
      <c r="L47" s="42"/>
      <c r="M47" s="44">
        <f t="shared" si="0"/>
        <v>1.3452229299363057</v>
      </c>
      <c r="P47" s="53">
        <v>44</v>
      </c>
      <c r="Q47" s="54">
        <v>75.2</v>
      </c>
      <c r="R47" s="54">
        <v>144.30000000000001</v>
      </c>
    </row>
    <row r="48" spans="1:19" x14ac:dyDescent="0.25">
      <c r="A48" s="43">
        <v>46002</v>
      </c>
      <c r="B48" s="40" t="s">
        <v>49</v>
      </c>
      <c r="C48" s="40" t="s">
        <v>125</v>
      </c>
      <c r="D48" s="41">
        <v>5</v>
      </c>
      <c r="E48" s="42">
        <v>76.7</v>
      </c>
      <c r="F48" s="42"/>
      <c r="G48" s="42">
        <v>109.5</v>
      </c>
      <c r="H48" s="41">
        <v>3517</v>
      </c>
      <c r="I48" s="42">
        <v>157.80000000000001</v>
      </c>
      <c r="J48" s="42">
        <v>32.799999999999997</v>
      </c>
      <c r="K48" s="40" t="s">
        <v>124</v>
      </c>
      <c r="L48" s="42"/>
      <c r="M48" s="44">
        <f t="shared" si="0"/>
        <v>1.4276401564537158</v>
      </c>
      <c r="P48" s="53">
        <v>45</v>
      </c>
      <c r="Q48" s="54">
        <v>79.099999999999994</v>
      </c>
      <c r="R48" s="54">
        <v>152.4</v>
      </c>
    </row>
    <row r="49" spans="1:19" x14ac:dyDescent="0.25">
      <c r="A49" s="43">
        <v>46002</v>
      </c>
      <c r="B49" s="40" t="s">
        <v>49</v>
      </c>
      <c r="C49" s="40" t="s">
        <v>125</v>
      </c>
      <c r="D49" s="41">
        <v>6</v>
      </c>
      <c r="E49" s="42">
        <v>73.2</v>
      </c>
      <c r="F49" s="42"/>
      <c r="G49" s="42">
        <v>109.5</v>
      </c>
      <c r="H49" s="41">
        <v>3212</v>
      </c>
      <c r="I49" s="42">
        <v>155.30000000000001</v>
      </c>
      <c r="J49" s="42">
        <v>-2.5</v>
      </c>
      <c r="K49" s="40" t="s">
        <v>123</v>
      </c>
      <c r="L49" s="42"/>
      <c r="M49" s="44">
        <f t="shared" si="0"/>
        <v>1.4959016393442623</v>
      </c>
      <c r="P49" s="53">
        <v>46</v>
      </c>
      <c r="Q49" s="54">
        <v>70.5</v>
      </c>
      <c r="R49" s="54">
        <v>122.8</v>
      </c>
    </row>
    <row r="50" spans="1:19" x14ac:dyDescent="0.25">
      <c r="A50" s="43">
        <v>46002</v>
      </c>
      <c r="B50" s="40" t="s">
        <v>49</v>
      </c>
      <c r="C50" s="40" t="s">
        <v>125</v>
      </c>
      <c r="D50" s="41">
        <v>7</v>
      </c>
      <c r="E50" s="42">
        <v>74.2</v>
      </c>
      <c r="F50" s="42"/>
      <c r="G50" s="42">
        <v>111.5</v>
      </c>
      <c r="H50" s="41">
        <v>3533</v>
      </c>
      <c r="I50" s="42">
        <v>154.1</v>
      </c>
      <c r="J50" s="42">
        <v>13.1</v>
      </c>
      <c r="K50" s="40" t="s">
        <v>124</v>
      </c>
      <c r="L50" s="42"/>
      <c r="M50" s="44">
        <f t="shared" si="0"/>
        <v>1.5026954177897573</v>
      </c>
      <c r="P50" s="53" t="s">
        <v>33</v>
      </c>
      <c r="Q50" s="54">
        <v>100.2</v>
      </c>
      <c r="R50" s="54">
        <v>230.4</v>
      </c>
      <c r="S50">
        <v>5.2</v>
      </c>
    </row>
    <row r="51" spans="1:19" x14ac:dyDescent="0.25">
      <c r="A51" s="43">
        <v>46002</v>
      </c>
      <c r="B51" s="40" t="s">
        <v>49</v>
      </c>
      <c r="C51" s="40" t="s">
        <v>125</v>
      </c>
      <c r="D51" s="41">
        <v>8</v>
      </c>
      <c r="E51" s="42">
        <v>79.8</v>
      </c>
      <c r="F51" s="42"/>
      <c r="G51" s="42">
        <v>115.9</v>
      </c>
      <c r="H51" s="41">
        <v>3548</v>
      </c>
      <c r="I51" s="42">
        <v>155.69999999999999</v>
      </c>
      <c r="J51" s="42">
        <v>-11.7</v>
      </c>
      <c r="K51" s="40" t="s">
        <v>123</v>
      </c>
      <c r="L51" s="42"/>
      <c r="M51" s="44">
        <f t="shared" si="0"/>
        <v>1.4523809523809526</v>
      </c>
    </row>
    <row r="52" spans="1:19" x14ac:dyDescent="0.25">
      <c r="A52" s="43">
        <v>46002</v>
      </c>
      <c r="B52" s="40" t="s">
        <v>49</v>
      </c>
      <c r="C52" s="40" t="s">
        <v>125</v>
      </c>
      <c r="D52" s="41">
        <v>9</v>
      </c>
      <c r="E52" s="42">
        <v>76</v>
      </c>
      <c r="F52" s="42"/>
      <c r="G52" s="42">
        <v>102.8</v>
      </c>
      <c r="H52" s="41">
        <v>4139</v>
      </c>
      <c r="I52" s="42">
        <v>135.1</v>
      </c>
      <c r="J52" s="42">
        <v>77.5</v>
      </c>
      <c r="K52" s="40" t="s">
        <v>124</v>
      </c>
      <c r="L52" s="42"/>
      <c r="M52" s="44">
        <f t="shared" si="0"/>
        <v>1.3526315789473684</v>
      </c>
    </row>
    <row r="53" spans="1:19" x14ac:dyDescent="0.25">
      <c r="A53" s="43">
        <v>46002</v>
      </c>
      <c r="B53" s="40" t="s">
        <v>49</v>
      </c>
      <c r="C53" s="40" t="s">
        <v>125</v>
      </c>
      <c r="D53" s="41">
        <v>10</v>
      </c>
      <c r="E53" s="42">
        <v>82.3</v>
      </c>
      <c r="F53" s="42"/>
      <c r="G53" s="42">
        <v>112</v>
      </c>
      <c r="H53" s="41">
        <v>4582</v>
      </c>
      <c r="I53" s="42">
        <v>157</v>
      </c>
      <c r="J53" s="42">
        <v>48.4</v>
      </c>
      <c r="K53" s="40" t="s">
        <v>124</v>
      </c>
      <c r="L53" s="42"/>
      <c r="M53" s="44">
        <f t="shared" si="0"/>
        <v>1.3608748481166464</v>
      </c>
    </row>
    <row r="54" spans="1:19" x14ac:dyDescent="0.25">
      <c r="A54" s="43">
        <v>46002</v>
      </c>
      <c r="B54" s="40" t="s">
        <v>49</v>
      </c>
      <c r="C54" s="40" t="s">
        <v>125</v>
      </c>
      <c r="D54" s="41">
        <v>11</v>
      </c>
      <c r="E54" s="42">
        <v>81.400000000000006</v>
      </c>
      <c r="F54" s="42"/>
      <c r="G54" s="42">
        <v>114.3</v>
      </c>
      <c r="H54" s="41">
        <v>3534</v>
      </c>
      <c r="I54" s="42">
        <v>153.1</v>
      </c>
      <c r="J54" s="42">
        <v>-23.8</v>
      </c>
      <c r="K54" s="40" t="s">
        <v>123</v>
      </c>
      <c r="L54" s="42"/>
      <c r="M54" s="44">
        <f t="shared" si="0"/>
        <v>1.4041769041769041</v>
      </c>
    </row>
    <row r="55" spans="1:19" x14ac:dyDescent="0.25">
      <c r="A55" s="43">
        <v>46002</v>
      </c>
      <c r="B55" s="40" t="s">
        <v>49</v>
      </c>
      <c r="C55" s="40" t="s">
        <v>125</v>
      </c>
      <c r="D55" s="41">
        <v>12</v>
      </c>
      <c r="E55" s="42">
        <v>83.2</v>
      </c>
      <c r="F55" s="42"/>
      <c r="G55" s="42">
        <v>120.8</v>
      </c>
      <c r="H55" s="41">
        <v>3706</v>
      </c>
      <c r="I55" s="42">
        <v>165.8</v>
      </c>
      <c r="J55" s="42">
        <v>-72.099999999999994</v>
      </c>
      <c r="K55" s="40" t="s">
        <v>123</v>
      </c>
      <c r="L55" s="42"/>
      <c r="M55" s="44">
        <f t="shared" si="0"/>
        <v>1.4519230769230769</v>
      </c>
    </row>
    <row r="56" spans="1:19" x14ac:dyDescent="0.25">
      <c r="A56" s="43">
        <v>46002</v>
      </c>
      <c r="B56" s="40" t="s">
        <v>49</v>
      </c>
      <c r="C56" s="40" t="s">
        <v>125</v>
      </c>
      <c r="D56" s="41">
        <v>13</v>
      </c>
      <c r="E56" s="42">
        <v>82.4</v>
      </c>
      <c r="F56" s="42"/>
      <c r="G56" s="42">
        <v>117.9</v>
      </c>
      <c r="H56" s="41">
        <v>3759</v>
      </c>
      <c r="I56" s="42">
        <v>167.4</v>
      </c>
      <c r="J56" s="42">
        <v>-12</v>
      </c>
      <c r="K56" s="40" t="s">
        <v>123</v>
      </c>
      <c r="L56" s="42"/>
      <c r="M56" s="44">
        <f t="shared" si="0"/>
        <v>1.4308252427184465</v>
      </c>
    </row>
    <row r="57" spans="1:19" x14ac:dyDescent="0.25">
      <c r="A57" s="43">
        <v>46002</v>
      </c>
      <c r="B57" s="40" t="s">
        <v>49</v>
      </c>
      <c r="C57" s="40" t="s">
        <v>125</v>
      </c>
      <c r="D57" s="41">
        <v>14</v>
      </c>
      <c r="E57" s="42">
        <v>81.2</v>
      </c>
      <c r="F57" s="42"/>
      <c r="G57" s="42">
        <v>118.7</v>
      </c>
      <c r="H57" s="41">
        <v>3959</v>
      </c>
      <c r="I57" s="42">
        <v>166.9</v>
      </c>
      <c r="J57" s="42">
        <v>-53.6</v>
      </c>
      <c r="K57" s="40" t="s">
        <v>123</v>
      </c>
      <c r="L57" s="42"/>
      <c r="M57" s="44">
        <f t="shared" si="0"/>
        <v>1.4618226600985222</v>
      </c>
    </row>
    <row r="58" spans="1:19" x14ac:dyDescent="0.25">
      <c r="A58" s="43">
        <v>46002</v>
      </c>
      <c r="B58" s="40" t="s">
        <v>49</v>
      </c>
      <c r="C58" s="40" t="s">
        <v>125</v>
      </c>
      <c r="D58" s="41">
        <v>15</v>
      </c>
      <c r="E58" s="42">
        <v>76.7</v>
      </c>
      <c r="F58" s="42"/>
      <c r="G58" s="42">
        <v>110.3</v>
      </c>
      <c r="H58" s="41">
        <v>3648</v>
      </c>
      <c r="I58" s="42">
        <v>156.1</v>
      </c>
      <c r="J58" s="42">
        <v>10</v>
      </c>
      <c r="K58" s="40" t="s">
        <v>124</v>
      </c>
      <c r="L58" s="42"/>
      <c r="M58" s="44">
        <f t="shared" si="0"/>
        <v>1.4380704041720991</v>
      </c>
    </row>
    <row r="59" spans="1:19" x14ac:dyDescent="0.25">
      <c r="A59" s="43">
        <v>46002</v>
      </c>
      <c r="B59" s="40" t="s">
        <v>49</v>
      </c>
      <c r="C59" s="40" t="s">
        <v>125</v>
      </c>
      <c r="D59" s="41">
        <v>16</v>
      </c>
      <c r="E59" s="42">
        <v>78.099999999999994</v>
      </c>
      <c r="F59" s="42"/>
      <c r="G59" s="42">
        <v>103.4</v>
      </c>
      <c r="H59" s="41">
        <v>3455</v>
      </c>
      <c r="I59" s="42">
        <v>142.1</v>
      </c>
      <c r="J59" s="42">
        <v>75.5</v>
      </c>
      <c r="K59" s="40" t="s">
        <v>124</v>
      </c>
      <c r="L59" s="42"/>
      <c r="M59" s="44">
        <f t="shared" si="0"/>
        <v>1.3239436619718312</v>
      </c>
    </row>
    <row r="60" spans="1:19" x14ac:dyDescent="0.25">
      <c r="A60" s="43">
        <v>46002</v>
      </c>
      <c r="B60" s="40" t="s">
        <v>49</v>
      </c>
      <c r="C60" s="40" t="s">
        <v>125</v>
      </c>
      <c r="D60" s="41">
        <v>17</v>
      </c>
      <c r="E60" s="42">
        <v>80.3</v>
      </c>
      <c r="F60" s="42"/>
      <c r="G60" s="42">
        <v>112.1</v>
      </c>
      <c r="H60" s="41">
        <v>3597</v>
      </c>
      <c r="I60" s="42">
        <v>159.30000000000001</v>
      </c>
      <c r="J60" s="42">
        <v>21.5</v>
      </c>
      <c r="K60" s="40" t="s">
        <v>124</v>
      </c>
      <c r="L60" s="42"/>
      <c r="M60" s="44">
        <f t="shared" si="0"/>
        <v>1.3960149439601495</v>
      </c>
    </row>
    <row r="61" spans="1:19" x14ac:dyDescent="0.25">
      <c r="A61" s="43">
        <v>46002</v>
      </c>
      <c r="B61" s="40" t="s">
        <v>49</v>
      </c>
      <c r="C61" s="40" t="s">
        <v>125</v>
      </c>
      <c r="D61" s="41">
        <v>18</v>
      </c>
      <c r="E61" s="42">
        <v>77.7</v>
      </c>
      <c r="F61" s="42"/>
      <c r="G61" s="42">
        <v>111.2</v>
      </c>
      <c r="H61" s="41">
        <v>3683</v>
      </c>
      <c r="I61" s="42">
        <v>156</v>
      </c>
      <c r="J61" s="42">
        <v>-0.4</v>
      </c>
      <c r="K61" s="40" t="s">
        <v>123</v>
      </c>
      <c r="L61" s="42"/>
      <c r="M61" s="44">
        <f t="shared" si="0"/>
        <v>1.431145431145431</v>
      </c>
    </row>
    <row r="62" spans="1:19" x14ac:dyDescent="0.25">
      <c r="A62" s="43">
        <v>46002</v>
      </c>
      <c r="B62" s="40" t="s">
        <v>49</v>
      </c>
      <c r="C62" s="40" t="s">
        <v>125</v>
      </c>
      <c r="D62" s="41">
        <v>19</v>
      </c>
      <c r="E62" s="42">
        <v>62.5</v>
      </c>
      <c r="F62" s="42"/>
      <c r="G62" s="42">
        <v>87</v>
      </c>
      <c r="H62" s="41">
        <v>3663</v>
      </c>
      <c r="I62" s="42">
        <v>103.7</v>
      </c>
      <c r="J62" s="42">
        <v>-12.2</v>
      </c>
      <c r="K62" s="40" t="s">
        <v>123</v>
      </c>
      <c r="L62" s="42"/>
      <c r="M62" s="44">
        <f t="shared" si="0"/>
        <v>1.3919999999999999</v>
      </c>
    </row>
    <row r="63" spans="1:19" x14ac:dyDescent="0.25">
      <c r="A63" s="43">
        <v>46002</v>
      </c>
      <c r="B63" s="40" t="s">
        <v>49</v>
      </c>
      <c r="C63" s="40" t="s">
        <v>125</v>
      </c>
      <c r="D63" s="41">
        <v>20</v>
      </c>
      <c r="E63" s="42">
        <v>76.599999999999994</v>
      </c>
      <c r="F63" s="42"/>
      <c r="G63" s="42">
        <v>99.5</v>
      </c>
      <c r="H63" s="41">
        <v>3257</v>
      </c>
      <c r="I63" s="42">
        <v>114.7</v>
      </c>
      <c r="J63" s="42">
        <v>-43.5</v>
      </c>
      <c r="K63" s="40" t="s">
        <v>123</v>
      </c>
      <c r="L63" s="42"/>
      <c r="M63" s="44">
        <f t="shared" si="0"/>
        <v>1.2989556135770235</v>
      </c>
    </row>
    <row r="64" spans="1:19" x14ac:dyDescent="0.25">
      <c r="A64" s="43">
        <v>46002</v>
      </c>
      <c r="B64" s="40" t="s">
        <v>49</v>
      </c>
      <c r="C64" s="40" t="s">
        <v>125</v>
      </c>
      <c r="D64" s="41">
        <v>21</v>
      </c>
      <c r="E64" s="42">
        <v>80.2</v>
      </c>
      <c r="F64" s="42"/>
      <c r="G64" s="42">
        <v>112.5</v>
      </c>
      <c r="H64" s="41">
        <v>4360</v>
      </c>
      <c r="I64" s="42">
        <v>160.69999999999999</v>
      </c>
      <c r="J64" s="42">
        <v>37.6</v>
      </c>
      <c r="K64" s="40" t="s">
        <v>124</v>
      </c>
      <c r="L64" s="42"/>
      <c r="M64" s="44">
        <f t="shared" si="0"/>
        <v>1.4027431421446384</v>
      </c>
    </row>
    <row r="65" spans="1:13" x14ac:dyDescent="0.25">
      <c r="A65" s="43">
        <v>46002</v>
      </c>
      <c r="B65" s="40" t="s">
        <v>49</v>
      </c>
      <c r="C65" s="40" t="s">
        <v>125</v>
      </c>
      <c r="D65" s="41">
        <v>22</v>
      </c>
      <c r="E65" s="42">
        <v>73.900000000000006</v>
      </c>
      <c r="F65" s="42"/>
      <c r="G65" s="42">
        <v>101.4</v>
      </c>
      <c r="H65" s="41">
        <v>4375</v>
      </c>
      <c r="I65" s="42">
        <v>132.19999999999999</v>
      </c>
      <c r="J65" s="42">
        <v>38.9</v>
      </c>
      <c r="K65" s="40" t="s">
        <v>124</v>
      </c>
      <c r="L65" s="42"/>
      <c r="M65" s="44">
        <f t="shared" si="0"/>
        <v>1.37212449255751</v>
      </c>
    </row>
    <row r="66" spans="1:13" x14ac:dyDescent="0.25">
      <c r="A66" s="43">
        <v>46002</v>
      </c>
      <c r="B66" s="40" t="s">
        <v>49</v>
      </c>
      <c r="C66" s="40" t="s">
        <v>125</v>
      </c>
      <c r="D66" s="41">
        <v>23</v>
      </c>
      <c r="E66" s="42">
        <v>79.3</v>
      </c>
      <c r="F66" s="42"/>
      <c r="G66" s="42">
        <v>110.4</v>
      </c>
      <c r="H66" s="41">
        <v>3867</v>
      </c>
      <c r="I66" s="42">
        <v>154.6</v>
      </c>
      <c r="J66" s="42">
        <v>12.6</v>
      </c>
      <c r="K66" s="40" t="s">
        <v>124</v>
      </c>
      <c r="L66" s="42"/>
      <c r="M66" s="44">
        <f t="shared" ref="M66:M129" si="1">IF(E66="","",G66/E66)</f>
        <v>1.3921815889029006</v>
      </c>
    </row>
    <row r="67" spans="1:13" x14ac:dyDescent="0.25">
      <c r="A67" s="43">
        <v>46002</v>
      </c>
      <c r="B67" s="40" t="s">
        <v>49</v>
      </c>
      <c r="C67" s="40" t="s">
        <v>125</v>
      </c>
      <c r="D67" s="41">
        <v>24</v>
      </c>
      <c r="E67" s="42">
        <v>70.5</v>
      </c>
      <c r="F67" s="42"/>
      <c r="G67" s="42">
        <v>94.4</v>
      </c>
      <c r="H67" s="41">
        <v>3673</v>
      </c>
      <c r="I67" s="42">
        <v>109.5</v>
      </c>
      <c r="J67" s="42">
        <v>-54.9</v>
      </c>
      <c r="K67" s="40" t="s">
        <v>123</v>
      </c>
      <c r="L67" s="42"/>
      <c r="M67" s="44">
        <f t="shared" si="1"/>
        <v>1.3390070921985817</v>
      </c>
    </row>
    <row r="68" spans="1:13" x14ac:dyDescent="0.25">
      <c r="A68" s="43">
        <v>46002</v>
      </c>
      <c r="B68" s="40" t="s">
        <v>49</v>
      </c>
      <c r="C68" s="40" t="s">
        <v>125</v>
      </c>
      <c r="D68" s="41">
        <v>25</v>
      </c>
      <c r="E68" s="42">
        <v>76.2</v>
      </c>
      <c r="F68" s="42"/>
      <c r="G68" s="42">
        <v>107.9</v>
      </c>
      <c r="H68" s="41">
        <v>3492</v>
      </c>
      <c r="I68" s="42">
        <v>147.5</v>
      </c>
      <c r="J68" s="42">
        <v>22</v>
      </c>
      <c r="K68" s="40" t="s">
        <v>124</v>
      </c>
      <c r="L68" s="42"/>
      <c r="M68" s="44">
        <f t="shared" si="1"/>
        <v>1.416010498687664</v>
      </c>
    </row>
    <row r="69" spans="1:13" x14ac:dyDescent="0.25">
      <c r="A69" s="43">
        <v>46002</v>
      </c>
      <c r="B69" s="40" t="s">
        <v>49</v>
      </c>
      <c r="C69" s="40" t="s">
        <v>125</v>
      </c>
      <c r="D69" s="41">
        <v>26</v>
      </c>
      <c r="E69" s="42">
        <v>71.3</v>
      </c>
      <c r="F69" s="42"/>
      <c r="G69" s="42">
        <v>96.9</v>
      </c>
      <c r="H69" s="41">
        <v>2466</v>
      </c>
      <c r="I69" s="42">
        <v>115.9</v>
      </c>
      <c r="J69" s="42">
        <v>-21.6</v>
      </c>
      <c r="K69" s="40" t="s">
        <v>123</v>
      </c>
      <c r="L69" s="42"/>
      <c r="M69" s="44">
        <f t="shared" si="1"/>
        <v>1.3590462833099581</v>
      </c>
    </row>
    <row r="70" spans="1:13" x14ac:dyDescent="0.25">
      <c r="A70" s="43">
        <v>46002</v>
      </c>
      <c r="B70" s="40" t="s">
        <v>49</v>
      </c>
      <c r="C70" s="40" t="s">
        <v>125</v>
      </c>
      <c r="D70" s="41">
        <v>27</v>
      </c>
      <c r="E70" s="42">
        <v>64.5</v>
      </c>
      <c r="F70" s="42"/>
      <c r="G70" s="42">
        <v>95.2</v>
      </c>
      <c r="H70" s="41">
        <v>2769</v>
      </c>
      <c r="I70" s="42">
        <v>90.6</v>
      </c>
      <c r="J70" s="42">
        <v>-14.9</v>
      </c>
      <c r="K70" s="40" t="s">
        <v>123</v>
      </c>
      <c r="L70" s="42"/>
      <c r="M70" s="44">
        <f t="shared" si="1"/>
        <v>1.4759689922480621</v>
      </c>
    </row>
    <row r="71" spans="1:13" x14ac:dyDescent="0.25">
      <c r="A71" s="43">
        <v>46002</v>
      </c>
      <c r="B71" s="40" t="s">
        <v>49</v>
      </c>
      <c r="C71" s="40" t="s">
        <v>125</v>
      </c>
      <c r="D71" s="41">
        <v>28</v>
      </c>
      <c r="E71" s="42">
        <v>78</v>
      </c>
      <c r="F71" s="42"/>
      <c r="G71" s="42">
        <v>108.7</v>
      </c>
      <c r="H71" s="41">
        <v>3897</v>
      </c>
      <c r="I71" s="42">
        <v>139.9</v>
      </c>
      <c r="J71" s="42">
        <v>-48.8</v>
      </c>
      <c r="K71" s="40" t="s">
        <v>123</v>
      </c>
      <c r="L71" s="42"/>
      <c r="M71" s="44">
        <f t="shared" si="1"/>
        <v>1.3935897435897435</v>
      </c>
    </row>
    <row r="72" spans="1:13" x14ac:dyDescent="0.25">
      <c r="A72" s="43">
        <v>46002</v>
      </c>
      <c r="B72" s="40" t="s">
        <v>49</v>
      </c>
      <c r="C72" s="40" t="s">
        <v>125</v>
      </c>
      <c r="D72" s="41">
        <v>29</v>
      </c>
      <c r="E72" s="42">
        <v>70.5</v>
      </c>
      <c r="F72" s="42"/>
      <c r="G72" s="42">
        <v>101</v>
      </c>
      <c r="H72" s="41">
        <v>3169</v>
      </c>
      <c r="I72" s="42">
        <v>132.30000000000001</v>
      </c>
      <c r="J72" s="42">
        <v>-26.2</v>
      </c>
      <c r="K72" s="40" t="s">
        <v>123</v>
      </c>
      <c r="L72" s="42"/>
      <c r="M72" s="44">
        <f t="shared" si="1"/>
        <v>1.4326241134751774</v>
      </c>
    </row>
    <row r="73" spans="1:13" x14ac:dyDescent="0.25">
      <c r="A73" s="43">
        <v>46002</v>
      </c>
      <c r="B73" s="40" t="s">
        <v>49</v>
      </c>
      <c r="C73" s="40" t="s">
        <v>125</v>
      </c>
      <c r="D73" s="41">
        <v>30</v>
      </c>
      <c r="E73" s="42">
        <v>81.400000000000006</v>
      </c>
      <c r="F73" s="42"/>
      <c r="G73" s="42">
        <v>119.8</v>
      </c>
      <c r="H73" s="41">
        <v>3842</v>
      </c>
      <c r="I73" s="42">
        <v>169</v>
      </c>
      <c r="J73" s="42">
        <v>-56.1</v>
      </c>
      <c r="K73" s="40" t="s">
        <v>123</v>
      </c>
      <c r="L73" s="42"/>
      <c r="M73" s="44">
        <f t="shared" si="1"/>
        <v>1.4717444717444716</v>
      </c>
    </row>
    <row r="74" spans="1:13" x14ac:dyDescent="0.25">
      <c r="A74" s="43">
        <v>46002</v>
      </c>
      <c r="B74" s="40" t="s">
        <v>49</v>
      </c>
      <c r="C74" s="40" t="s">
        <v>125</v>
      </c>
      <c r="D74" s="41">
        <v>31</v>
      </c>
      <c r="E74" s="42">
        <v>73.900000000000006</v>
      </c>
      <c r="F74" s="42"/>
      <c r="G74" s="42">
        <v>108.2</v>
      </c>
      <c r="H74" s="41">
        <v>3878</v>
      </c>
      <c r="I74" s="42">
        <v>152.30000000000001</v>
      </c>
      <c r="J74" s="42">
        <v>32.4</v>
      </c>
      <c r="K74" s="40" t="s">
        <v>124</v>
      </c>
      <c r="L74" s="42"/>
      <c r="M74" s="44">
        <f t="shared" si="1"/>
        <v>1.4641407307171852</v>
      </c>
    </row>
    <row r="75" spans="1:13" x14ac:dyDescent="0.25">
      <c r="A75" s="43">
        <v>46002</v>
      </c>
      <c r="B75" s="40" t="s">
        <v>49</v>
      </c>
      <c r="C75" s="40" t="s">
        <v>125</v>
      </c>
      <c r="D75" s="41">
        <v>32</v>
      </c>
      <c r="E75" s="42">
        <v>76.3</v>
      </c>
      <c r="F75" s="42"/>
      <c r="G75" s="42">
        <v>107.2</v>
      </c>
      <c r="H75" s="41">
        <v>4058</v>
      </c>
      <c r="I75" s="42">
        <v>151.30000000000001</v>
      </c>
      <c r="J75" s="42">
        <v>27.4</v>
      </c>
      <c r="K75" s="40" t="s">
        <v>124</v>
      </c>
      <c r="L75" s="42"/>
      <c r="M75" s="44">
        <f t="shared" si="1"/>
        <v>1.4049803407601573</v>
      </c>
    </row>
    <row r="76" spans="1:13" x14ac:dyDescent="0.25">
      <c r="A76" s="43">
        <v>46002</v>
      </c>
      <c r="B76" s="40" t="s">
        <v>49</v>
      </c>
      <c r="C76" s="40" t="s">
        <v>125</v>
      </c>
      <c r="D76" s="41">
        <v>33</v>
      </c>
      <c r="E76" s="42">
        <v>78.8</v>
      </c>
      <c r="F76" s="42"/>
      <c r="G76" s="42">
        <v>112.6</v>
      </c>
      <c r="H76" s="41">
        <v>4374</v>
      </c>
      <c r="I76" s="42">
        <v>163.4</v>
      </c>
      <c r="J76" s="42">
        <v>38</v>
      </c>
      <c r="K76" s="40" t="s">
        <v>124</v>
      </c>
      <c r="L76" s="42"/>
      <c r="M76" s="44">
        <f t="shared" si="1"/>
        <v>1.4289340101522843</v>
      </c>
    </row>
    <row r="77" spans="1:13" x14ac:dyDescent="0.25">
      <c r="A77" s="43">
        <v>46002</v>
      </c>
      <c r="B77" s="40" t="s">
        <v>49</v>
      </c>
      <c r="C77" s="40" t="s">
        <v>125</v>
      </c>
      <c r="D77" s="41">
        <v>34</v>
      </c>
      <c r="E77" s="42">
        <v>85.3</v>
      </c>
      <c r="F77" s="42"/>
      <c r="G77" s="42">
        <v>125</v>
      </c>
      <c r="H77" s="41">
        <v>4063</v>
      </c>
      <c r="I77" s="42">
        <v>175.8</v>
      </c>
      <c r="J77" s="42">
        <v>-118.9</v>
      </c>
      <c r="K77" s="40" t="s">
        <v>123</v>
      </c>
      <c r="L77" s="42"/>
      <c r="M77" s="44">
        <f t="shared" si="1"/>
        <v>1.4654161781946073</v>
      </c>
    </row>
    <row r="78" spans="1:13" x14ac:dyDescent="0.25">
      <c r="A78" s="43">
        <v>46002</v>
      </c>
      <c r="B78" s="40" t="s">
        <v>49</v>
      </c>
      <c r="C78" s="40" t="s">
        <v>125</v>
      </c>
      <c r="D78" s="41">
        <v>35</v>
      </c>
      <c r="E78" s="42">
        <v>75.099999999999994</v>
      </c>
      <c r="F78" s="42"/>
      <c r="G78" s="42">
        <v>110.6</v>
      </c>
      <c r="H78" s="41">
        <v>3756</v>
      </c>
      <c r="I78" s="42">
        <v>156.30000000000001</v>
      </c>
      <c r="J78" s="42">
        <v>-65.400000000000006</v>
      </c>
      <c r="K78" s="40" t="s">
        <v>123</v>
      </c>
      <c r="L78" s="42"/>
      <c r="M78" s="44">
        <f t="shared" si="1"/>
        <v>1.4727030625832225</v>
      </c>
    </row>
    <row r="79" spans="1:13" x14ac:dyDescent="0.25">
      <c r="A79" s="43">
        <v>46002</v>
      </c>
      <c r="B79" s="40" t="s">
        <v>49</v>
      </c>
      <c r="C79" s="40" t="s">
        <v>125</v>
      </c>
      <c r="D79" s="41">
        <v>36</v>
      </c>
      <c r="E79" s="42">
        <v>79.8</v>
      </c>
      <c r="F79" s="42"/>
      <c r="G79" s="42">
        <v>108.7</v>
      </c>
      <c r="H79" s="41">
        <v>3606</v>
      </c>
      <c r="I79" s="42">
        <v>143.19999999999999</v>
      </c>
      <c r="J79" s="42">
        <v>-62.3</v>
      </c>
      <c r="K79" s="40" t="s">
        <v>123</v>
      </c>
      <c r="L79" s="42"/>
      <c r="M79" s="44">
        <f t="shared" si="1"/>
        <v>1.3621553884711781</v>
      </c>
    </row>
    <row r="80" spans="1:13" x14ac:dyDescent="0.25">
      <c r="A80" s="43">
        <v>46002</v>
      </c>
      <c r="B80" s="40" t="s">
        <v>49</v>
      </c>
      <c r="C80" s="40" t="s">
        <v>125</v>
      </c>
      <c r="D80" s="41">
        <v>37</v>
      </c>
      <c r="E80" s="42">
        <v>76.2</v>
      </c>
      <c r="F80" s="42"/>
      <c r="G80" s="42">
        <v>100.8</v>
      </c>
      <c r="H80" s="41">
        <v>3463</v>
      </c>
      <c r="I80" s="42">
        <v>129.1</v>
      </c>
      <c r="J80" s="42">
        <v>0.5</v>
      </c>
      <c r="K80" s="40" t="s">
        <v>124</v>
      </c>
      <c r="L80" s="42"/>
      <c r="M80" s="44">
        <f t="shared" si="1"/>
        <v>1.3228346456692912</v>
      </c>
    </row>
    <row r="81" spans="1:13" x14ac:dyDescent="0.25">
      <c r="A81" s="43">
        <v>46002</v>
      </c>
      <c r="B81" s="40" t="s">
        <v>49</v>
      </c>
      <c r="C81" s="40" t="s">
        <v>125</v>
      </c>
      <c r="D81" s="41">
        <v>38</v>
      </c>
      <c r="E81" s="42">
        <v>74.8</v>
      </c>
      <c r="F81" s="42"/>
      <c r="G81" s="42">
        <v>108.4</v>
      </c>
      <c r="H81" s="41">
        <v>3441</v>
      </c>
      <c r="I81" s="42">
        <v>148.6</v>
      </c>
      <c r="J81" s="42">
        <v>-16.399999999999999</v>
      </c>
      <c r="K81" s="40" t="s">
        <v>123</v>
      </c>
      <c r="L81" s="42"/>
      <c r="M81" s="44">
        <f t="shared" si="1"/>
        <v>1.4491978609625671</v>
      </c>
    </row>
    <row r="82" spans="1:13" x14ac:dyDescent="0.25">
      <c r="A82" s="43">
        <v>46002</v>
      </c>
      <c r="B82" s="40" t="s">
        <v>49</v>
      </c>
      <c r="C82" s="40" t="s">
        <v>125</v>
      </c>
      <c r="D82" s="41">
        <v>39</v>
      </c>
      <c r="E82" s="42">
        <v>80.400000000000006</v>
      </c>
      <c r="F82" s="42"/>
      <c r="G82" s="42">
        <v>114.3</v>
      </c>
      <c r="H82" s="41">
        <v>3885</v>
      </c>
      <c r="I82" s="42">
        <v>163.30000000000001</v>
      </c>
      <c r="J82" s="42">
        <v>27.7</v>
      </c>
      <c r="K82" s="40" t="s">
        <v>124</v>
      </c>
      <c r="L82" s="42"/>
      <c r="M82" s="44">
        <f t="shared" si="1"/>
        <v>1.4216417910447761</v>
      </c>
    </row>
    <row r="83" spans="1:13" x14ac:dyDescent="0.25">
      <c r="A83" s="43">
        <v>46002</v>
      </c>
      <c r="B83" s="40" t="s">
        <v>49</v>
      </c>
      <c r="C83" s="40" t="s">
        <v>125</v>
      </c>
      <c r="D83" s="41">
        <v>40</v>
      </c>
      <c r="E83" s="42">
        <v>78.900000000000006</v>
      </c>
      <c r="F83" s="42"/>
      <c r="G83" s="42">
        <v>114.1</v>
      </c>
      <c r="H83" s="41">
        <v>4655</v>
      </c>
      <c r="I83" s="42">
        <v>162.19999999999999</v>
      </c>
      <c r="J83" s="42">
        <v>86.6</v>
      </c>
      <c r="K83" s="40" t="s">
        <v>124</v>
      </c>
      <c r="L83" s="42"/>
      <c r="M83" s="44">
        <f t="shared" si="1"/>
        <v>1.4461343472750314</v>
      </c>
    </row>
    <row r="84" spans="1:13" x14ac:dyDescent="0.25">
      <c r="A84" s="43">
        <v>46002</v>
      </c>
      <c r="B84" s="40" t="s">
        <v>49</v>
      </c>
      <c r="C84" s="40" t="s">
        <v>125</v>
      </c>
      <c r="D84" s="41">
        <v>41</v>
      </c>
      <c r="E84" s="42">
        <v>81</v>
      </c>
      <c r="F84" s="42"/>
      <c r="G84" s="42">
        <v>113.1</v>
      </c>
      <c r="H84" s="41">
        <v>3795</v>
      </c>
      <c r="I84" s="42">
        <v>155.5</v>
      </c>
      <c r="J84" s="42">
        <v>-10.1</v>
      </c>
      <c r="K84" s="40" t="s">
        <v>123</v>
      </c>
      <c r="L84" s="42"/>
      <c r="M84" s="44">
        <f t="shared" si="1"/>
        <v>1.3962962962962961</v>
      </c>
    </row>
    <row r="85" spans="1:13" x14ac:dyDescent="0.25">
      <c r="A85" s="43">
        <v>46002</v>
      </c>
      <c r="B85" s="40" t="s">
        <v>49</v>
      </c>
      <c r="C85" s="40" t="s">
        <v>125</v>
      </c>
      <c r="D85" s="41">
        <v>42</v>
      </c>
      <c r="E85" s="42">
        <v>65.900000000000006</v>
      </c>
      <c r="F85" s="42"/>
      <c r="G85" s="42">
        <v>96.5</v>
      </c>
      <c r="H85" s="41">
        <v>2975</v>
      </c>
      <c r="I85" s="42">
        <v>120.7</v>
      </c>
      <c r="J85" s="42">
        <v>-34.6</v>
      </c>
      <c r="K85" s="40" t="s">
        <v>123</v>
      </c>
      <c r="L85" s="42"/>
      <c r="M85" s="44">
        <f t="shared" si="1"/>
        <v>1.464339908952959</v>
      </c>
    </row>
    <row r="86" spans="1:13" x14ac:dyDescent="0.25">
      <c r="A86" s="43">
        <v>46002</v>
      </c>
      <c r="B86" s="40" t="s">
        <v>49</v>
      </c>
      <c r="C86" s="40" t="s">
        <v>125</v>
      </c>
      <c r="D86" s="41">
        <v>43</v>
      </c>
      <c r="E86" s="42">
        <v>75.5</v>
      </c>
      <c r="F86" s="42"/>
      <c r="G86" s="42">
        <v>106.2</v>
      </c>
      <c r="H86" s="41">
        <v>3707</v>
      </c>
      <c r="I86" s="42">
        <v>134.4</v>
      </c>
      <c r="J86" s="42">
        <v>20.3</v>
      </c>
      <c r="K86" s="40" t="s">
        <v>124</v>
      </c>
      <c r="L86" s="42"/>
      <c r="M86" s="44">
        <f t="shared" si="1"/>
        <v>1.4066225165562913</v>
      </c>
    </row>
    <row r="87" spans="1:13" x14ac:dyDescent="0.25">
      <c r="A87" s="43">
        <v>46002</v>
      </c>
      <c r="B87" s="40" t="s">
        <v>49</v>
      </c>
      <c r="C87" s="40" t="s">
        <v>125</v>
      </c>
      <c r="D87" s="41">
        <v>44</v>
      </c>
      <c r="E87" s="42">
        <v>70.7</v>
      </c>
      <c r="F87" s="42"/>
      <c r="G87" s="42">
        <v>89</v>
      </c>
      <c r="H87" s="41">
        <v>1743</v>
      </c>
      <c r="I87" s="42">
        <v>82.7</v>
      </c>
      <c r="J87" s="42">
        <v>5.4</v>
      </c>
      <c r="K87" s="40" t="s">
        <v>124</v>
      </c>
      <c r="L87" s="42"/>
      <c r="M87" s="44">
        <f t="shared" si="1"/>
        <v>1.2588401697312588</v>
      </c>
    </row>
    <row r="88" spans="1:13" x14ac:dyDescent="0.25">
      <c r="A88" s="43">
        <v>46002</v>
      </c>
      <c r="B88" s="40" t="s">
        <v>47</v>
      </c>
      <c r="C88" s="40" t="s">
        <v>126</v>
      </c>
      <c r="D88" s="41">
        <v>1</v>
      </c>
      <c r="E88" s="42">
        <v>74</v>
      </c>
      <c r="F88" s="42"/>
      <c r="G88" s="42">
        <v>104.9</v>
      </c>
      <c r="H88" s="41">
        <v>4749</v>
      </c>
      <c r="I88" s="42">
        <v>147.19999999999999</v>
      </c>
      <c r="J88" s="42">
        <v>19</v>
      </c>
      <c r="K88" s="40" t="s">
        <v>124</v>
      </c>
      <c r="L88" s="42"/>
      <c r="M88" s="44">
        <f t="shared" si="1"/>
        <v>1.4175675675675676</v>
      </c>
    </row>
    <row r="89" spans="1:13" x14ac:dyDescent="0.25">
      <c r="A89" s="43">
        <v>46002</v>
      </c>
      <c r="B89" s="40" t="s">
        <v>47</v>
      </c>
      <c r="C89" s="40" t="s">
        <v>126</v>
      </c>
      <c r="D89" s="41">
        <v>2</v>
      </c>
      <c r="E89" s="42">
        <v>69.900000000000006</v>
      </c>
      <c r="F89" s="42"/>
      <c r="G89" s="42">
        <v>94.4</v>
      </c>
      <c r="H89" s="41">
        <v>4564</v>
      </c>
      <c r="I89" s="42">
        <v>113.7</v>
      </c>
      <c r="J89" s="42">
        <v>-7.4</v>
      </c>
      <c r="K89" s="40" t="s">
        <v>123</v>
      </c>
      <c r="L89" s="42"/>
      <c r="M89" s="44">
        <f t="shared" si="1"/>
        <v>1.3505007153075823</v>
      </c>
    </row>
    <row r="90" spans="1:13" x14ac:dyDescent="0.25">
      <c r="A90" s="43">
        <v>46002</v>
      </c>
      <c r="B90" s="40" t="s">
        <v>47</v>
      </c>
      <c r="C90" s="40" t="s">
        <v>126</v>
      </c>
      <c r="D90" s="41">
        <v>3</v>
      </c>
      <c r="E90" s="42">
        <v>75.900000000000006</v>
      </c>
      <c r="F90" s="42"/>
      <c r="G90" s="42">
        <v>104.4</v>
      </c>
      <c r="H90" s="41">
        <v>4484</v>
      </c>
      <c r="I90" s="42">
        <v>141</v>
      </c>
      <c r="J90" s="42">
        <v>-0.7</v>
      </c>
      <c r="K90" s="40" t="s">
        <v>123</v>
      </c>
      <c r="L90" s="42"/>
      <c r="M90" s="44">
        <f t="shared" si="1"/>
        <v>1.3754940711462451</v>
      </c>
    </row>
    <row r="91" spans="1:13" x14ac:dyDescent="0.25">
      <c r="A91" s="43">
        <v>46002</v>
      </c>
      <c r="B91" s="40" t="s">
        <v>47</v>
      </c>
      <c r="C91" s="40" t="s">
        <v>126</v>
      </c>
      <c r="D91" s="41">
        <v>4</v>
      </c>
      <c r="E91" s="42">
        <v>73.7</v>
      </c>
      <c r="F91" s="42"/>
      <c r="G91" s="42">
        <v>105</v>
      </c>
      <c r="H91" s="41">
        <v>4611</v>
      </c>
      <c r="I91" s="42">
        <v>143.4</v>
      </c>
      <c r="J91" s="42">
        <v>-12.7</v>
      </c>
      <c r="K91" s="40" t="s">
        <v>123</v>
      </c>
      <c r="L91" s="42"/>
      <c r="M91" s="44">
        <f t="shared" si="1"/>
        <v>1.4246947082767978</v>
      </c>
    </row>
    <row r="92" spans="1:13" x14ac:dyDescent="0.25">
      <c r="A92" s="43">
        <v>46002</v>
      </c>
      <c r="B92" s="40" t="s">
        <v>47</v>
      </c>
      <c r="C92" s="40" t="s">
        <v>126</v>
      </c>
      <c r="D92" s="41">
        <v>5</v>
      </c>
      <c r="E92" s="42">
        <v>81.2</v>
      </c>
      <c r="F92" s="42"/>
      <c r="G92" s="42">
        <v>107.9</v>
      </c>
      <c r="H92" s="41">
        <v>6700</v>
      </c>
      <c r="I92" s="42">
        <v>145.19999999999999</v>
      </c>
      <c r="J92" s="42">
        <v>89.2</v>
      </c>
      <c r="K92" s="40" t="s">
        <v>124</v>
      </c>
      <c r="L92" s="42"/>
      <c r="M92" s="44">
        <f t="shared" si="1"/>
        <v>1.3288177339901479</v>
      </c>
    </row>
    <row r="93" spans="1:13" x14ac:dyDescent="0.25">
      <c r="A93" s="43">
        <v>46002</v>
      </c>
      <c r="B93" s="40" t="s">
        <v>47</v>
      </c>
      <c r="C93" s="40" t="s">
        <v>126</v>
      </c>
      <c r="D93" s="41">
        <v>6</v>
      </c>
      <c r="E93" s="42">
        <v>73.8</v>
      </c>
      <c r="F93" s="42"/>
      <c r="G93" s="42">
        <v>100.2</v>
      </c>
      <c r="H93" s="41">
        <v>5377</v>
      </c>
      <c r="I93" s="42">
        <v>134.4</v>
      </c>
      <c r="J93" s="42">
        <v>42.4</v>
      </c>
      <c r="K93" s="40" t="s">
        <v>124</v>
      </c>
      <c r="L93" s="42"/>
      <c r="M93" s="44">
        <f t="shared" si="1"/>
        <v>1.3577235772357725</v>
      </c>
    </row>
    <row r="94" spans="1:13" x14ac:dyDescent="0.25">
      <c r="A94" s="43">
        <v>46002</v>
      </c>
      <c r="B94" s="40" t="s">
        <v>47</v>
      </c>
      <c r="C94" s="40" t="s">
        <v>126</v>
      </c>
      <c r="D94" s="41">
        <v>7</v>
      </c>
      <c r="E94" s="42">
        <v>78.599999999999994</v>
      </c>
      <c r="F94" s="42"/>
      <c r="G94" s="42">
        <v>102.9</v>
      </c>
      <c r="H94" s="41">
        <v>2931</v>
      </c>
      <c r="I94" s="42">
        <v>68.5</v>
      </c>
      <c r="J94" s="42">
        <v>-19.5</v>
      </c>
      <c r="K94" s="40" t="s">
        <v>123</v>
      </c>
      <c r="L94" s="42"/>
      <c r="M94" s="44">
        <f t="shared" si="1"/>
        <v>1.3091603053435117</v>
      </c>
    </row>
    <row r="95" spans="1:13" x14ac:dyDescent="0.25">
      <c r="A95" s="43">
        <v>46002</v>
      </c>
      <c r="B95" s="40" t="s">
        <v>47</v>
      </c>
      <c r="C95" s="40" t="s">
        <v>126</v>
      </c>
      <c r="D95" s="41">
        <v>8</v>
      </c>
      <c r="E95" s="42">
        <v>79</v>
      </c>
      <c r="F95" s="42"/>
      <c r="G95" s="42">
        <v>106.6</v>
      </c>
      <c r="H95" s="41">
        <v>5753</v>
      </c>
      <c r="I95" s="42">
        <v>145.4</v>
      </c>
      <c r="J95" s="42">
        <v>7.9</v>
      </c>
      <c r="K95" s="40" t="s">
        <v>124</v>
      </c>
      <c r="L95" s="42"/>
      <c r="M95" s="44">
        <f t="shared" si="1"/>
        <v>1.3493670886075948</v>
      </c>
    </row>
    <row r="96" spans="1:13" x14ac:dyDescent="0.25">
      <c r="A96" s="43">
        <v>46002</v>
      </c>
      <c r="B96" s="40" t="s">
        <v>47</v>
      </c>
      <c r="C96" s="40" t="s">
        <v>126</v>
      </c>
      <c r="D96" s="41">
        <v>9</v>
      </c>
      <c r="E96" s="42">
        <v>67.599999999999994</v>
      </c>
      <c r="F96" s="42"/>
      <c r="G96" s="42">
        <v>92.1</v>
      </c>
      <c r="H96" s="41">
        <v>4075</v>
      </c>
      <c r="I96" s="42">
        <v>109.6</v>
      </c>
      <c r="J96" s="42">
        <v>-14.8</v>
      </c>
      <c r="K96" s="40" t="s">
        <v>123</v>
      </c>
      <c r="L96" s="42"/>
      <c r="M96" s="44">
        <f t="shared" si="1"/>
        <v>1.3624260355029587</v>
      </c>
    </row>
    <row r="97" spans="1:13" x14ac:dyDescent="0.25">
      <c r="A97" s="43">
        <v>46002</v>
      </c>
      <c r="B97" s="40" t="s">
        <v>47</v>
      </c>
      <c r="C97" s="40" t="s">
        <v>126</v>
      </c>
      <c r="D97" s="41">
        <v>10</v>
      </c>
      <c r="E97" s="42">
        <v>77.8</v>
      </c>
      <c r="F97" s="42"/>
      <c r="G97" s="42">
        <v>110.2</v>
      </c>
      <c r="H97" s="41">
        <v>5238</v>
      </c>
      <c r="I97" s="42">
        <v>149.6</v>
      </c>
      <c r="J97" s="42">
        <v>-50.9</v>
      </c>
      <c r="K97" s="40" t="s">
        <v>123</v>
      </c>
      <c r="L97" s="42"/>
      <c r="M97" s="44">
        <f t="shared" si="1"/>
        <v>1.4164524421593832</v>
      </c>
    </row>
    <row r="98" spans="1:13" x14ac:dyDescent="0.25">
      <c r="A98" s="43">
        <v>46002</v>
      </c>
      <c r="B98" s="40" t="s">
        <v>47</v>
      </c>
      <c r="C98" s="40" t="s">
        <v>126</v>
      </c>
      <c r="D98" s="41">
        <v>11</v>
      </c>
      <c r="E98" s="42">
        <v>73.400000000000006</v>
      </c>
      <c r="F98" s="42"/>
      <c r="G98" s="42">
        <v>100.9</v>
      </c>
      <c r="H98" s="41">
        <v>4719</v>
      </c>
      <c r="I98" s="42">
        <v>134.4</v>
      </c>
      <c r="J98" s="42">
        <v>-18.100000000000001</v>
      </c>
      <c r="K98" s="40" t="s">
        <v>123</v>
      </c>
      <c r="L98" s="42"/>
      <c r="M98" s="44">
        <f t="shared" si="1"/>
        <v>1.3746594005449591</v>
      </c>
    </row>
    <row r="99" spans="1:13" x14ac:dyDescent="0.25">
      <c r="A99" s="43">
        <v>46002</v>
      </c>
      <c r="B99" s="40" t="s">
        <v>47</v>
      </c>
      <c r="C99" s="40" t="s">
        <v>126</v>
      </c>
      <c r="D99" s="41">
        <v>12</v>
      </c>
      <c r="E99" s="42">
        <v>70</v>
      </c>
      <c r="F99" s="42"/>
      <c r="G99" s="42">
        <v>77.900000000000006</v>
      </c>
      <c r="H99" s="41">
        <v>2282</v>
      </c>
      <c r="I99" s="42">
        <v>62.6</v>
      </c>
      <c r="J99" s="42">
        <v>-28</v>
      </c>
      <c r="K99" s="40" t="s">
        <v>123</v>
      </c>
      <c r="L99" s="42"/>
      <c r="M99" s="44">
        <f t="shared" si="1"/>
        <v>1.112857142857143</v>
      </c>
    </row>
    <row r="100" spans="1:13" x14ac:dyDescent="0.25">
      <c r="A100" s="43">
        <v>46002</v>
      </c>
      <c r="B100" s="40" t="s">
        <v>47</v>
      </c>
      <c r="C100" s="40" t="s">
        <v>126</v>
      </c>
      <c r="D100" s="41">
        <v>13</v>
      </c>
      <c r="E100" s="42">
        <v>64.099999999999994</v>
      </c>
      <c r="F100" s="42"/>
      <c r="G100" s="42">
        <v>80</v>
      </c>
      <c r="H100" s="41">
        <v>3752</v>
      </c>
      <c r="I100" s="42">
        <v>56.7</v>
      </c>
      <c r="J100" s="42">
        <v>12.8</v>
      </c>
      <c r="K100" s="40" t="s">
        <v>124</v>
      </c>
      <c r="L100" s="42"/>
      <c r="M100" s="44">
        <f t="shared" si="1"/>
        <v>1.2480499219968799</v>
      </c>
    </row>
    <row r="101" spans="1:13" x14ac:dyDescent="0.25">
      <c r="A101" s="43">
        <v>46002</v>
      </c>
      <c r="B101" s="40" t="s">
        <v>47</v>
      </c>
      <c r="C101" s="40" t="s">
        <v>126</v>
      </c>
      <c r="D101" s="41">
        <v>14</v>
      </c>
      <c r="E101" s="42">
        <v>77</v>
      </c>
      <c r="F101" s="42"/>
      <c r="G101" s="42">
        <v>101.3</v>
      </c>
      <c r="H101" s="41">
        <v>5233</v>
      </c>
      <c r="I101" s="42">
        <v>136</v>
      </c>
      <c r="J101" s="42">
        <v>-9.9</v>
      </c>
      <c r="K101" s="40" t="s">
        <v>123</v>
      </c>
      <c r="L101" s="42"/>
      <c r="M101" s="44">
        <f t="shared" si="1"/>
        <v>1.3155844155844156</v>
      </c>
    </row>
    <row r="102" spans="1:13" x14ac:dyDescent="0.25">
      <c r="A102" s="43">
        <v>46002</v>
      </c>
      <c r="B102" s="40" t="s">
        <v>47</v>
      </c>
      <c r="C102" s="40" t="s">
        <v>126</v>
      </c>
      <c r="D102" s="41">
        <v>15</v>
      </c>
      <c r="E102" s="42">
        <v>76.8</v>
      </c>
      <c r="F102" s="42"/>
      <c r="G102" s="42">
        <v>107.1</v>
      </c>
      <c r="H102" s="41">
        <v>4812</v>
      </c>
      <c r="I102" s="42">
        <v>150.4</v>
      </c>
      <c r="J102" s="42">
        <v>-35.4</v>
      </c>
      <c r="K102" s="40" t="s">
        <v>123</v>
      </c>
      <c r="L102" s="42"/>
      <c r="M102" s="44">
        <f t="shared" si="1"/>
        <v>1.39453125</v>
      </c>
    </row>
    <row r="103" spans="1:13" x14ac:dyDescent="0.25">
      <c r="A103" s="43">
        <v>46002</v>
      </c>
      <c r="B103" s="40" t="s">
        <v>47</v>
      </c>
      <c r="C103" s="40" t="s">
        <v>126</v>
      </c>
      <c r="D103" s="41">
        <v>16</v>
      </c>
      <c r="E103" s="42">
        <v>74.400000000000006</v>
      </c>
      <c r="F103" s="42"/>
      <c r="G103" s="42">
        <v>105.9</v>
      </c>
      <c r="H103" s="41">
        <v>4849</v>
      </c>
      <c r="I103" s="42">
        <v>146.9</v>
      </c>
      <c r="J103" s="42">
        <v>2.1</v>
      </c>
      <c r="K103" s="40" t="s">
        <v>124</v>
      </c>
      <c r="L103" s="42"/>
      <c r="M103" s="44">
        <f t="shared" si="1"/>
        <v>1.4233870967741935</v>
      </c>
    </row>
    <row r="104" spans="1:13" x14ac:dyDescent="0.25">
      <c r="A104" s="43">
        <v>46002</v>
      </c>
      <c r="B104" s="40" t="s">
        <v>47</v>
      </c>
      <c r="C104" s="40" t="s">
        <v>126</v>
      </c>
      <c r="D104" s="41">
        <v>17</v>
      </c>
      <c r="E104" s="42">
        <v>76.099999999999994</v>
      </c>
      <c r="F104" s="42"/>
      <c r="G104" s="42">
        <v>94.2</v>
      </c>
      <c r="H104" s="41">
        <v>5270</v>
      </c>
      <c r="I104" s="42">
        <v>103.9</v>
      </c>
      <c r="J104" s="42">
        <v>68.099999999999994</v>
      </c>
      <c r="K104" s="40" t="s">
        <v>124</v>
      </c>
      <c r="L104" s="42"/>
      <c r="M104" s="44">
        <f t="shared" si="1"/>
        <v>1.23784494086728</v>
      </c>
    </row>
    <row r="105" spans="1:13" x14ac:dyDescent="0.25">
      <c r="A105" s="43">
        <v>46002</v>
      </c>
      <c r="B105" s="40" t="s">
        <v>47</v>
      </c>
      <c r="C105" s="40" t="s">
        <v>126</v>
      </c>
      <c r="D105" s="41">
        <v>18</v>
      </c>
      <c r="E105" s="42">
        <v>62.9</v>
      </c>
      <c r="F105" s="42"/>
      <c r="G105" s="42">
        <v>85.2</v>
      </c>
      <c r="H105" s="41">
        <v>3940</v>
      </c>
      <c r="I105" s="42">
        <v>104.7</v>
      </c>
      <c r="J105" s="42">
        <v>-4.5999999999999996</v>
      </c>
      <c r="K105" s="40" t="s">
        <v>123</v>
      </c>
      <c r="L105" s="42"/>
      <c r="M105" s="44">
        <f t="shared" si="1"/>
        <v>1.3545310015898251</v>
      </c>
    </row>
    <row r="106" spans="1:13" x14ac:dyDescent="0.25">
      <c r="A106" s="43">
        <v>46002</v>
      </c>
      <c r="B106" s="40" t="s">
        <v>47</v>
      </c>
      <c r="C106" s="40" t="s">
        <v>126</v>
      </c>
      <c r="D106" s="41">
        <v>19</v>
      </c>
      <c r="E106" s="42">
        <v>72.5</v>
      </c>
      <c r="F106" s="42"/>
      <c r="G106" s="42">
        <v>90.5</v>
      </c>
      <c r="H106" s="41">
        <v>3960</v>
      </c>
      <c r="I106" s="42">
        <v>51.1</v>
      </c>
      <c r="J106" s="42">
        <v>23</v>
      </c>
      <c r="K106" s="40" t="s">
        <v>124</v>
      </c>
      <c r="L106" s="42"/>
      <c r="M106" s="44">
        <f t="shared" si="1"/>
        <v>1.2482758620689656</v>
      </c>
    </row>
    <row r="107" spans="1:13" x14ac:dyDescent="0.25">
      <c r="A107" s="43">
        <v>46002</v>
      </c>
      <c r="B107" s="40" t="s">
        <v>47</v>
      </c>
      <c r="C107" s="40" t="s">
        <v>126</v>
      </c>
      <c r="D107" s="41">
        <v>20</v>
      </c>
      <c r="E107" s="42">
        <v>78.7</v>
      </c>
      <c r="F107" s="42"/>
      <c r="G107" s="42">
        <v>107.2</v>
      </c>
      <c r="H107" s="41">
        <v>4975</v>
      </c>
      <c r="I107" s="42">
        <v>149.80000000000001</v>
      </c>
      <c r="J107" s="42">
        <v>-17.399999999999999</v>
      </c>
      <c r="K107" s="40" t="s">
        <v>123</v>
      </c>
      <c r="L107" s="42"/>
      <c r="M107" s="44">
        <f t="shared" si="1"/>
        <v>1.3621346886912324</v>
      </c>
    </row>
    <row r="108" spans="1:13" x14ac:dyDescent="0.25">
      <c r="A108" s="43">
        <v>46002</v>
      </c>
      <c r="B108" s="40" t="s">
        <v>47</v>
      </c>
      <c r="C108" s="40" t="s">
        <v>126</v>
      </c>
      <c r="D108" s="41">
        <v>21</v>
      </c>
      <c r="E108" s="42">
        <v>77.5</v>
      </c>
      <c r="F108" s="42"/>
      <c r="G108" s="42">
        <v>106.9</v>
      </c>
      <c r="H108" s="41">
        <v>5214</v>
      </c>
      <c r="I108" s="42">
        <v>147.1</v>
      </c>
      <c r="J108" s="42">
        <v>35.700000000000003</v>
      </c>
      <c r="K108" s="40" t="s">
        <v>124</v>
      </c>
      <c r="L108" s="42"/>
      <c r="M108" s="44">
        <f t="shared" si="1"/>
        <v>1.3793548387096775</v>
      </c>
    </row>
    <row r="109" spans="1:13" x14ac:dyDescent="0.25">
      <c r="A109" s="43">
        <v>46002</v>
      </c>
      <c r="B109" s="40" t="s">
        <v>47</v>
      </c>
      <c r="C109" s="40" t="s">
        <v>126</v>
      </c>
      <c r="D109" s="41">
        <v>22</v>
      </c>
      <c r="E109" s="42">
        <v>75.7</v>
      </c>
      <c r="F109" s="42"/>
      <c r="G109" s="42">
        <v>101.3</v>
      </c>
      <c r="H109" s="41">
        <v>5549</v>
      </c>
      <c r="I109" s="42">
        <v>123.9</v>
      </c>
      <c r="J109" s="42">
        <v>32.5</v>
      </c>
      <c r="K109" s="40" t="s">
        <v>124</v>
      </c>
      <c r="L109" s="42"/>
      <c r="M109" s="44">
        <f t="shared" si="1"/>
        <v>1.3381770145310434</v>
      </c>
    </row>
    <row r="110" spans="1:13" x14ac:dyDescent="0.25">
      <c r="A110" s="43">
        <v>46002</v>
      </c>
      <c r="B110" s="40" t="s">
        <v>47</v>
      </c>
      <c r="C110" s="40" t="s">
        <v>126</v>
      </c>
      <c r="D110" s="41">
        <v>23</v>
      </c>
      <c r="E110" s="42">
        <v>63.9</v>
      </c>
      <c r="F110" s="42"/>
      <c r="G110" s="42">
        <v>74.2</v>
      </c>
      <c r="H110" s="41">
        <v>5229</v>
      </c>
      <c r="I110" s="42">
        <v>86.2</v>
      </c>
      <c r="J110" s="42">
        <v>25.5</v>
      </c>
      <c r="K110" s="40" t="s">
        <v>124</v>
      </c>
      <c r="L110" s="42"/>
      <c r="M110" s="44">
        <f t="shared" si="1"/>
        <v>1.1611893583724571</v>
      </c>
    </row>
    <row r="111" spans="1:13" x14ac:dyDescent="0.25">
      <c r="A111" s="43">
        <v>46002</v>
      </c>
      <c r="B111" s="40" t="s">
        <v>47</v>
      </c>
      <c r="C111" s="40" t="s">
        <v>126</v>
      </c>
      <c r="D111" s="41">
        <v>24</v>
      </c>
      <c r="E111" s="42">
        <v>77.900000000000006</v>
      </c>
      <c r="F111" s="42"/>
      <c r="G111" s="42">
        <v>105.1</v>
      </c>
      <c r="H111" s="41">
        <v>4435</v>
      </c>
      <c r="I111" s="42">
        <v>122.8</v>
      </c>
      <c r="J111" s="42">
        <v>-32</v>
      </c>
      <c r="K111" s="40" t="s">
        <v>123</v>
      </c>
      <c r="L111" s="42"/>
      <c r="M111" s="44">
        <f t="shared" si="1"/>
        <v>1.349165596919127</v>
      </c>
    </row>
    <row r="112" spans="1:13" x14ac:dyDescent="0.25">
      <c r="A112" s="43">
        <v>46002</v>
      </c>
      <c r="B112" s="40" t="s">
        <v>47</v>
      </c>
      <c r="C112" s="40" t="s">
        <v>126</v>
      </c>
      <c r="D112" s="41">
        <v>25</v>
      </c>
      <c r="E112" s="42">
        <v>82.6</v>
      </c>
      <c r="F112" s="42"/>
      <c r="G112" s="42">
        <v>113.5</v>
      </c>
      <c r="H112" s="41">
        <v>4925</v>
      </c>
      <c r="I112" s="42">
        <v>160.4</v>
      </c>
      <c r="J112" s="42">
        <v>-40.799999999999997</v>
      </c>
      <c r="K112" s="40" t="s">
        <v>123</v>
      </c>
      <c r="L112" s="42"/>
      <c r="M112" s="44">
        <f t="shared" si="1"/>
        <v>1.37409200968523</v>
      </c>
    </row>
    <row r="113" spans="1:13" x14ac:dyDescent="0.25">
      <c r="A113" s="43">
        <v>46002</v>
      </c>
      <c r="B113" s="40" t="s">
        <v>47</v>
      </c>
      <c r="C113" s="40" t="s">
        <v>126</v>
      </c>
      <c r="D113" s="41">
        <v>26</v>
      </c>
      <c r="E113" s="42">
        <v>78.5</v>
      </c>
      <c r="F113" s="42"/>
      <c r="G113" s="42">
        <v>112.6</v>
      </c>
      <c r="H113" s="41">
        <v>4924</v>
      </c>
      <c r="I113" s="42">
        <v>157.69999999999999</v>
      </c>
      <c r="J113" s="42">
        <v>-53.1</v>
      </c>
      <c r="K113" s="40" t="s">
        <v>123</v>
      </c>
      <c r="L113" s="42"/>
      <c r="M113" s="44">
        <f t="shared" si="1"/>
        <v>1.4343949044585986</v>
      </c>
    </row>
    <row r="114" spans="1:13" x14ac:dyDescent="0.25">
      <c r="A114" s="43">
        <v>46002</v>
      </c>
      <c r="B114" s="40" t="s">
        <v>47</v>
      </c>
      <c r="C114" s="40" t="s">
        <v>126</v>
      </c>
      <c r="D114" s="41">
        <v>27</v>
      </c>
      <c r="E114" s="42">
        <v>74.7</v>
      </c>
      <c r="F114" s="42"/>
      <c r="G114" s="42">
        <v>102.7</v>
      </c>
      <c r="H114" s="41">
        <v>4796</v>
      </c>
      <c r="I114" s="42">
        <v>138.1</v>
      </c>
      <c r="J114" s="42">
        <v>-17.2</v>
      </c>
      <c r="K114" s="40" t="s">
        <v>123</v>
      </c>
      <c r="L114" s="42"/>
      <c r="M114" s="44">
        <f t="shared" si="1"/>
        <v>1.3748326639892905</v>
      </c>
    </row>
    <row r="115" spans="1:13" x14ac:dyDescent="0.25">
      <c r="A115" s="43">
        <v>46002</v>
      </c>
      <c r="B115" s="40" t="s">
        <v>47</v>
      </c>
      <c r="C115" s="40" t="s">
        <v>126</v>
      </c>
      <c r="D115" s="41">
        <v>28</v>
      </c>
      <c r="E115" s="42">
        <v>72.400000000000006</v>
      </c>
      <c r="F115" s="42"/>
      <c r="G115" s="42">
        <v>98.3</v>
      </c>
      <c r="H115" s="41">
        <v>4973</v>
      </c>
      <c r="I115" s="42">
        <v>125.2</v>
      </c>
      <c r="J115" s="42">
        <v>5.3</v>
      </c>
      <c r="K115" s="40" t="s">
        <v>124</v>
      </c>
      <c r="L115" s="42"/>
      <c r="M115" s="44">
        <f t="shared" si="1"/>
        <v>1.357734806629834</v>
      </c>
    </row>
    <row r="116" spans="1:13" x14ac:dyDescent="0.25">
      <c r="A116" s="43">
        <v>46002</v>
      </c>
      <c r="B116" s="40" t="s">
        <v>47</v>
      </c>
      <c r="C116" s="40" t="s">
        <v>126</v>
      </c>
      <c r="D116" s="41">
        <v>29</v>
      </c>
      <c r="E116" s="42">
        <v>79.5</v>
      </c>
      <c r="F116" s="42"/>
      <c r="G116" s="42">
        <v>111</v>
      </c>
      <c r="H116" s="41">
        <v>5107</v>
      </c>
      <c r="I116" s="42">
        <v>153.4</v>
      </c>
      <c r="J116" s="42">
        <v>-71.2</v>
      </c>
      <c r="K116" s="40" t="s">
        <v>123</v>
      </c>
      <c r="L116" s="42"/>
      <c r="M116" s="44">
        <f t="shared" si="1"/>
        <v>1.3962264150943395</v>
      </c>
    </row>
    <row r="117" spans="1:13" x14ac:dyDescent="0.25">
      <c r="A117" s="43">
        <v>46002</v>
      </c>
      <c r="B117" s="40" t="s">
        <v>47</v>
      </c>
      <c r="C117" s="40" t="s">
        <v>126</v>
      </c>
      <c r="D117" s="41">
        <v>30</v>
      </c>
      <c r="E117" s="42">
        <v>76.400000000000006</v>
      </c>
      <c r="F117" s="42"/>
      <c r="G117" s="42">
        <v>104.7</v>
      </c>
      <c r="H117" s="41">
        <v>4297</v>
      </c>
      <c r="I117" s="42">
        <v>137.4</v>
      </c>
      <c r="J117" s="42">
        <v>-45.8</v>
      </c>
      <c r="K117" s="40" t="s">
        <v>123</v>
      </c>
      <c r="L117" s="42"/>
      <c r="M117" s="44">
        <f t="shared" si="1"/>
        <v>1.3704188481675392</v>
      </c>
    </row>
    <row r="118" spans="1:13" x14ac:dyDescent="0.25">
      <c r="A118" s="43">
        <v>46002</v>
      </c>
      <c r="B118" s="40" t="s">
        <v>47</v>
      </c>
      <c r="C118" s="40" t="s">
        <v>126</v>
      </c>
      <c r="D118" s="41">
        <v>31</v>
      </c>
      <c r="E118" s="42">
        <v>79.099999999999994</v>
      </c>
      <c r="F118" s="42"/>
      <c r="G118" s="42">
        <v>108.6</v>
      </c>
      <c r="H118" s="41">
        <v>5250</v>
      </c>
      <c r="I118" s="42">
        <v>149.9</v>
      </c>
      <c r="J118" s="42">
        <v>-16.399999999999999</v>
      </c>
      <c r="K118" s="40" t="s">
        <v>123</v>
      </c>
      <c r="L118" s="42"/>
      <c r="M118" s="44">
        <f t="shared" si="1"/>
        <v>1.3729456384323642</v>
      </c>
    </row>
    <row r="119" spans="1:13" x14ac:dyDescent="0.25">
      <c r="A119" s="43">
        <v>46002</v>
      </c>
      <c r="B119" s="40" t="s">
        <v>47</v>
      </c>
      <c r="C119" s="40" t="s">
        <v>126</v>
      </c>
      <c r="D119" s="41">
        <v>32</v>
      </c>
      <c r="E119" s="42">
        <v>69.400000000000006</v>
      </c>
      <c r="F119" s="42"/>
      <c r="G119" s="42">
        <v>83.4</v>
      </c>
      <c r="H119" s="41">
        <v>4160</v>
      </c>
      <c r="I119" s="42">
        <v>100.6</v>
      </c>
      <c r="J119" s="42">
        <v>-20.100000000000001</v>
      </c>
      <c r="K119" s="40" t="s">
        <v>123</v>
      </c>
      <c r="L119" s="42"/>
      <c r="M119" s="44">
        <f t="shared" si="1"/>
        <v>1.2017291066282421</v>
      </c>
    </row>
    <row r="120" spans="1:13" x14ac:dyDescent="0.25">
      <c r="A120" s="43">
        <v>46002</v>
      </c>
      <c r="B120" s="40" t="s">
        <v>47</v>
      </c>
      <c r="C120" s="40" t="s">
        <v>126</v>
      </c>
      <c r="D120" s="41">
        <v>33</v>
      </c>
      <c r="E120" s="42">
        <v>76</v>
      </c>
      <c r="F120" s="42"/>
      <c r="G120" s="42">
        <v>105.7</v>
      </c>
      <c r="H120" s="41">
        <v>4987</v>
      </c>
      <c r="I120" s="42">
        <v>147.4</v>
      </c>
      <c r="J120" s="42">
        <v>1.6</v>
      </c>
      <c r="K120" s="40" t="s">
        <v>124</v>
      </c>
      <c r="L120" s="42"/>
      <c r="M120" s="44">
        <f t="shared" si="1"/>
        <v>1.3907894736842106</v>
      </c>
    </row>
    <row r="121" spans="1:13" x14ac:dyDescent="0.25">
      <c r="A121" s="43">
        <v>46002</v>
      </c>
      <c r="B121" s="40" t="s">
        <v>47</v>
      </c>
      <c r="C121" s="40" t="s">
        <v>126</v>
      </c>
      <c r="D121" s="41">
        <v>34</v>
      </c>
      <c r="E121" s="42">
        <v>78.3</v>
      </c>
      <c r="F121" s="42"/>
      <c r="G121" s="42">
        <v>100.8</v>
      </c>
      <c r="H121" s="41">
        <v>4632</v>
      </c>
      <c r="I121" s="42">
        <v>136.6</v>
      </c>
      <c r="J121" s="42">
        <v>-35.700000000000003</v>
      </c>
      <c r="K121" s="40" t="s">
        <v>123</v>
      </c>
      <c r="L121" s="42"/>
      <c r="M121" s="44">
        <f t="shared" si="1"/>
        <v>1.2873563218390804</v>
      </c>
    </row>
    <row r="122" spans="1:13" x14ac:dyDescent="0.25">
      <c r="A122" s="43">
        <v>46002</v>
      </c>
      <c r="B122" s="40" t="s">
        <v>47</v>
      </c>
      <c r="C122" s="40" t="s">
        <v>126</v>
      </c>
      <c r="D122" s="41">
        <v>35</v>
      </c>
      <c r="E122" s="42">
        <v>70.400000000000006</v>
      </c>
      <c r="F122" s="42"/>
      <c r="G122" s="42">
        <v>88</v>
      </c>
      <c r="H122" s="41">
        <v>3902</v>
      </c>
      <c r="I122" s="42">
        <v>71.900000000000006</v>
      </c>
      <c r="J122" s="42">
        <v>41.1</v>
      </c>
      <c r="K122" s="40" t="s">
        <v>124</v>
      </c>
      <c r="L122" s="42"/>
      <c r="M122" s="44">
        <f t="shared" si="1"/>
        <v>1.25</v>
      </c>
    </row>
    <row r="123" spans="1:13" x14ac:dyDescent="0.25">
      <c r="A123" s="43">
        <v>46002</v>
      </c>
      <c r="B123" s="40" t="s">
        <v>47</v>
      </c>
      <c r="C123" s="40" t="s">
        <v>126</v>
      </c>
      <c r="D123" s="41">
        <v>36</v>
      </c>
      <c r="E123" s="42">
        <v>76.099999999999994</v>
      </c>
      <c r="F123" s="42"/>
      <c r="G123" s="42">
        <v>103.2</v>
      </c>
      <c r="H123" s="41">
        <v>4110</v>
      </c>
      <c r="I123" s="42">
        <v>128.4</v>
      </c>
      <c r="J123" s="42">
        <v>3.2</v>
      </c>
      <c r="K123" s="40" t="s">
        <v>124</v>
      </c>
      <c r="L123" s="42"/>
      <c r="M123" s="44">
        <f t="shared" si="1"/>
        <v>1.3561103810775297</v>
      </c>
    </row>
    <row r="124" spans="1:13" x14ac:dyDescent="0.25">
      <c r="A124" s="43">
        <v>46002</v>
      </c>
      <c r="B124" s="40" t="s">
        <v>47</v>
      </c>
      <c r="C124" s="40" t="s">
        <v>126</v>
      </c>
      <c r="D124" s="41">
        <v>37</v>
      </c>
      <c r="E124" s="42">
        <v>79.900000000000006</v>
      </c>
      <c r="F124" s="42"/>
      <c r="G124" s="42">
        <v>113.5</v>
      </c>
      <c r="H124" s="41">
        <v>5011</v>
      </c>
      <c r="I124" s="42">
        <v>157.5</v>
      </c>
      <c r="J124" s="42">
        <v>-60</v>
      </c>
      <c r="K124" s="40" t="s">
        <v>123</v>
      </c>
      <c r="L124" s="42"/>
      <c r="M124" s="44">
        <f t="shared" si="1"/>
        <v>1.4205256570713392</v>
      </c>
    </row>
    <row r="125" spans="1:13" x14ac:dyDescent="0.25">
      <c r="A125" s="43">
        <v>46002</v>
      </c>
      <c r="B125" s="40" t="s">
        <v>47</v>
      </c>
      <c r="C125" s="40" t="s">
        <v>126</v>
      </c>
      <c r="D125" s="41">
        <v>38</v>
      </c>
      <c r="E125" s="42">
        <v>74.5</v>
      </c>
      <c r="F125" s="42"/>
      <c r="G125" s="42">
        <v>99.3</v>
      </c>
      <c r="H125" s="41">
        <v>4299</v>
      </c>
      <c r="I125" s="42">
        <v>131.19999999999999</v>
      </c>
      <c r="J125" s="42">
        <v>-12.7</v>
      </c>
      <c r="K125" s="40" t="s">
        <v>123</v>
      </c>
      <c r="L125" s="42"/>
      <c r="M125" s="44">
        <f t="shared" si="1"/>
        <v>1.3328859060402685</v>
      </c>
    </row>
    <row r="126" spans="1:13" x14ac:dyDescent="0.25">
      <c r="A126" s="43">
        <v>46002</v>
      </c>
      <c r="B126" s="40" t="s">
        <v>47</v>
      </c>
      <c r="C126" s="40" t="s">
        <v>126</v>
      </c>
      <c r="D126" s="41">
        <v>39</v>
      </c>
      <c r="E126" s="42">
        <v>73.2</v>
      </c>
      <c r="F126" s="42"/>
      <c r="G126" s="42">
        <v>102.5</v>
      </c>
      <c r="H126" s="41">
        <v>4096</v>
      </c>
      <c r="I126" s="42">
        <v>125.8</v>
      </c>
      <c r="J126" s="42">
        <v>-54.5</v>
      </c>
      <c r="K126" s="40" t="s">
        <v>123</v>
      </c>
      <c r="L126" s="42"/>
      <c r="M126" s="44">
        <f t="shared" si="1"/>
        <v>1.4002732240437159</v>
      </c>
    </row>
    <row r="127" spans="1:13" x14ac:dyDescent="0.25">
      <c r="A127" s="43">
        <v>46002</v>
      </c>
      <c r="B127" s="40" t="s">
        <v>47</v>
      </c>
      <c r="C127" s="40" t="s">
        <v>126</v>
      </c>
      <c r="D127" s="41">
        <v>40</v>
      </c>
      <c r="E127" s="42">
        <v>72.900000000000006</v>
      </c>
      <c r="F127" s="42"/>
      <c r="G127" s="42">
        <v>100.6</v>
      </c>
      <c r="H127" s="41">
        <v>4677</v>
      </c>
      <c r="I127" s="42">
        <v>131.30000000000001</v>
      </c>
      <c r="J127" s="42">
        <v>-0.6</v>
      </c>
      <c r="K127" s="40" t="s">
        <v>123</v>
      </c>
      <c r="L127" s="42"/>
      <c r="M127" s="44">
        <f t="shared" si="1"/>
        <v>1.3799725651577501</v>
      </c>
    </row>
    <row r="128" spans="1:13" x14ac:dyDescent="0.25">
      <c r="A128" s="43">
        <v>46002</v>
      </c>
      <c r="B128" s="40" t="s">
        <v>47</v>
      </c>
      <c r="C128" s="40" t="s">
        <v>126</v>
      </c>
      <c r="D128" s="41">
        <v>41</v>
      </c>
      <c r="E128" s="42">
        <v>76.8</v>
      </c>
      <c r="F128" s="42"/>
      <c r="G128" s="42">
        <v>96.7</v>
      </c>
      <c r="H128" s="41">
        <v>7065</v>
      </c>
      <c r="I128" s="42">
        <v>122.9</v>
      </c>
      <c r="J128" s="42">
        <v>18.399999999999999</v>
      </c>
      <c r="K128" s="40" t="s">
        <v>124</v>
      </c>
      <c r="L128" s="42"/>
      <c r="M128" s="44">
        <f t="shared" si="1"/>
        <v>1.2591145833333335</v>
      </c>
    </row>
    <row r="129" spans="1:13" x14ac:dyDescent="0.25">
      <c r="A129" s="43">
        <v>46002</v>
      </c>
      <c r="B129" s="40" t="s">
        <v>47</v>
      </c>
      <c r="C129" s="40" t="s">
        <v>126</v>
      </c>
      <c r="D129" s="41">
        <v>42</v>
      </c>
      <c r="E129" s="42">
        <v>75</v>
      </c>
      <c r="F129" s="42"/>
      <c r="G129" s="42">
        <v>105.8</v>
      </c>
      <c r="H129" s="41">
        <v>4928</v>
      </c>
      <c r="I129" s="42">
        <v>144.1</v>
      </c>
      <c r="J129" s="42">
        <v>-33.299999999999997</v>
      </c>
      <c r="K129" s="40" t="s">
        <v>123</v>
      </c>
      <c r="L129" s="42"/>
      <c r="M129" s="44">
        <f t="shared" si="1"/>
        <v>1.4106666666666667</v>
      </c>
    </row>
    <row r="130" spans="1:13" x14ac:dyDescent="0.25">
      <c r="A130" s="43">
        <v>46002</v>
      </c>
      <c r="B130" s="40" t="s">
        <v>47</v>
      </c>
      <c r="C130" s="40" t="s">
        <v>126</v>
      </c>
      <c r="D130" s="41">
        <v>43</v>
      </c>
      <c r="E130" s="42">
        <v>77.2</v>
      </c>
      <c r="F130" s="42"/>
      <c r="G130" s="42">
        <v>109.2</v>
      </c>
      <c r="H130" s="41">
        <v>4956</v>
      </c>
      <c r="I130" s="42">
        <v>151.4</v>
      </c>
      <c r="J130" s="42">
        <v>-12.5</v>
      </c>
      <c r="K130" s="40" t="s">
        <v>123</v>
      </c>
      <c r="L130" s="42"/>
      <c r="M130" s="44">
        <f t="shared" ref="M130:M180" si="2">IF(E130="","",G130/E130)</f>
        <v>1.4145077720207253</v>
      </c>
    </row>
    <row r="131" spans="1:13" x14ac:dyDescent="0.25">
      <c r="A131" s="43">
        <v>46002</v>
      </c>
      <c r="B131" s="40" t="s">
        <v>47</v>
      </c>
      <c r="C131" s="40" t="s">
        <v>126</v>
      </c>
      <c r="D131" s="41">
        <v>44</v>
      </c>
      <c r="E131" s="42">
        <v>75.2</v>
      </c>
      <c r="F131" s="42"/>
      <c r="G131" s="42">
        <v>105</v>
      </c>
      <c r="H131" s="41">
        <v>5256</v>
      </c>
      <c r="I131" s="42">
        <v>144.30000000000001</v>
      </c>
      <c r="J131" s="42">
        <v>42.5</v>
      </c>
      <c r="K131" s="40" t="s">
        <v>124</v>
      </c>
      <c r="L131" s="42"/>
      <c r="M131" s="44">
        <f t="shared" si="2"/>
        <v>1.3962765957446808</v>
      </c>
    </row>
    <row r="132" spans="1:13" x14ac:dyDescent="0.25">
      <c r="A132" s="43">
        <v>46002</v>
      </c>
      <c r="B132" s="40" t="s">
        <v>47</v>
      </c>
      <c r="C132" s="40" t="s">
        <v>126</v>
      </c>
      <c r="D132" s="41">
        <v>45</v>
      </c>
      <c r="E132" s="42">
        <v>79.099999999999994</v>
      </c>
      <c r="F132" s="42"/>
      <c r="G132" s="42">
        <v>109.4</v>
      </c>
      <c r="H132" s="41">
        <v>5536</v>
      </c>
      <c r="I132" s="42">
        <v>152.4</v>
      </c>
      <c r="J132" s="42">
        <v>-12.8</v>
      </c>
      <c r="K132" s="40" t="s">
        <v>123</v>
      </c>
      <c r="L132" s="42"/>
      <c r="M132" s="44">
        <f t="shared" si="2"/>
        <v>1.3830594184576488</v>
      </c>
    </row>
    <row r="133" spans="1:13" x14ac:dyDescent="0.25">
      <c r="A133" s="43">
        <v>46002</v>
      </c>
      <c r="B133" s="40" t="s">
        <v>47</v>
      </c>
      <c r="C133" s="40" t="s">
        <v>126</v>
      </c>
      <c r="D133" s="41">
        <v>46</v>
      </c>
      <c r="E133" s="42">
        <v>70.5</v>
      </c>
      <c r="F133" s="42"/>
      <c r="G133" s="42">
        <v>91.9</v>
      </c>
      <c r="H133" s="41">
        <v>4504</v>
      </c>
      <c r="I133" s="42">
        <v>122.8</v>
      </c>
      <c r="J133" s="42">
        <v>26.5</v>
      </c>
      <c r="K133" s="40" t="s">
        <v>124</v>
      </c>
      <c r="L133" s="42"/>
      <c r="M133" s="44">
        <f t="shared" si="2"/>
        <v>1.3035460992907801</v>
      </c>
    </row>
    <row r="134" spans="1:13" x14ac:dyDescent="0.25">
      <c r="A134" s="43">
        <v>46002</v>
      </c>
      <c r="B134" s="40" t="s">
        <v>46</v>
      </c>
      <c r="C134" s="40" t="s">
        <v>127</v>
      </c>
      <c r="D134" s="41">
        <v>1</v>
      </c>
      <c r="E134" s="42">
        <v>75</v>
      </c>
      <c r="F134" s="42"/>
      <c r="G134" s="42">
        <v>102</v>
      </c>
      <c r="H134" s="41">
        <v>5037</v>
      </c>
      <c r="I134" s="42">
        <v>132.6</v>
      </c>
      <c r="J134" s="42">
        <v>-82</v>
      </c>
      <c r="K134" s="40" t="s">
        <v>123</v>
      </c>
      <c r="L134" s="42"/>
      <c r="M134" s="44">
        <f t="shared" si="2"/>
        <v>1.36</v>
      </c>
    </row>
    <row r="135" spans="1:13" x14ac:dyDescent="0.25">
      <c r="A135" s="43">
        <v>46002</v>
      </c>
      <c r="B135" s="40" t="s">
        <v>46</v>
      </c>
      <c r="C135" s="40" t="s">
        <v>127</v>
      </c>
      <c r="D135" s="41">
        <v>2</v>
      </c>
      <c r="E135" s="42">
        <v>75.3</v>
      </c>
      <c r="F135" s="42"/>
      <c r="G135" s="42">
        <v>103.3</v>
      </c>
      <c r="H135" s="41">
        <v>5809</v>
      </c>
      <c r="I135" s="42">
        <v>139.6</v>
      </c>
      <c r="J135" s="42">
        <v>28.2</v>
      </c>
      <c r="K135" s="40" t="s">
        <v>124</v>
      </c>
      <c r="L135" s="42"/>
      <c r="M135" s="44">
        <f t="shared" si="2"/>
        <v>1.3718459495351927</v>
      </c>
    </row>
    <row r="136" spans="1:13" x14ac:dyDescent="0.25">
      <c r="A136" s="43">
        <v>46002</v>
      </c>
      <c r="B136" s="40" t="s">
        <v>46</v>
      </c>
      <c r="C136" s="40" t="s">
        <v>127</v>
      </c>
      <c r="D136" s="41">
        <v>3</v>
      </c>
      <c r="E136" s="42">
        <v>71.099999999999994</v>
      </c>
      <c r="F136" s="42"/>
      <c r="G136" s="42">
        <v>100</v>
      </c>
      <c r="H136" s="41">
        <v>4679</v>
      </c>
      <c r="I136" s="42">
        <v>134.9</v>
      </c>
      <c r="J136" s="42">
        <v>17.3</v>
      </c>
      <c r="K136" s="40" t="s">
        <v>124</v>
      </c>
      <c r="L136" s="42"/>
      <c r="M136" s="44">
        <f t="shared" si="2"/>
        <v>1.4064697609001409</v>
      </c>
    </row>
    <row r="137" spans="1:13" x14ac:dyDescent="0.25">
      <c r="A137" s="43">
        <v>46002</v>
      </c>
      <c r="B137" s="40" t="s">
        <v>46</v>
      </c>
      <c r="C137" s="40" t="s">
        <v>127</v>
      </c>
      <c r="D137" s="41">
        <v>4</v>
      </c>
      <c r="E137" s="42">
        <v>77.2</v>
      </c>
      <c r="F137" s="42"/>
      <c r="G137" s="42">
        <v>109</v>
      </c>
      <c r="H137" s="41">
        <v>5447</v>
      </c>
      <c r="I137" s="42">
        <v>148</v>
      </c>
      <c r="J137" s="42">
        <v>-19.899999999999999</v>
      </c>
      <c r="K137" s="40" t="s">
        <v>123</v>
      </c>
      <c r="L137" s="42"/>
      <c r="M137" s="44">
        <f t="shared" si="2"/>
        <v>1.4119170984455958</v>
      </c>
    </row>
    <row r="138" spans="1:13" x14ac:dyDescent="0.25">
      <c r="A138" s="43">
        <v>46002</v>
      </c>
      <c r="B138" s="40" t="s">
        <v>46</v>
      </c>
      <c r="C138" s="40" t="s">
        <v>127</v>
      </c>
      <c r="D138" s="41">
        <v>5</v>
      </c>
      <c r="E138" s="42">
        <v>74.099999999999994</v>
      </c>
      <c r="F138" s="42"/>
      <c r="G138" s="42">
        <v>101.9</v>
      </c>
      <c r="H138" s="41">
        <v>3406</v>
      </c>
      <c r="I138" s="42">
        <v>75.5</v>
      </c>
      <c r="J138" s="42">
        <v>-1.7</v>
      </c>
      <c r="K138" s="40" t="s">
        <v>123</v>
      </c>
      <c r="L138" s="42"/>
      <c r="M138" s="44">
        <f t="shared" si="2"/>
        <v>1.3751686909581649</v>
      </c>
    </row>
    <row r="139" spans="1:13" x14ac:dyDescent="0.25">
      <c r="A139" s="43">
        <v>46002</v>
      </c>
      <c r="B139" s="40" t="s">
        <v>46</v>
      </c>
      <c r="C139" s="40" t="s">
        <v>127</v>
      </c>
      <c r="D139" s="41">
        <v>6</v>
      </c>
      <c r="E139" s="42">
        <v>71.8</v>
      </c>
      <c r="F139" s="42"/>
      <c r="G139" s="42">
        <v>104</v>
      </c>
      <c r="H139" s="41">
        <v>4523</v>
      </c>
      <c r="I139" s="42">
        <v>140</v>
      </c>
      <c r="J139" s="42">
        <v>-36.6</v>
      </c>
      <c r="K139" s="40" t="s">
        <v>123</v>
      </c>
      <c r="L139" s="42"/>
      <c r="M139" s="44">
        <f t="shared" si="2"/>
        <v>1.4484679665738163</v>
      </c>
    </row>
    <row r="140" spans="1:13" x14ac:dyDescent="0.25">
      <c r="A140" s="43">
        <v>46002</v>
      </c>
      <c r="B140" s="40" t="s">
        <v>46</v>
      </c>
      <c r="C140" s="40" t="s">
        <v>127</v>
      </c>
      <c r="D140" s="41">
        <v>7</v>
      </c>
      <c r="E140" s="42">
        <v>70.900000000000006</v>
      </c>
      <c r="F140" s="42"/>
      <c r="G140" s="42">
        <v>96.8</v>
      </c>
      <c r="H140" s="41">
        <v>4094</v>
      </c>
      <c r="I140" s="42">
        <v>95.2</v>
      </c>
      <c r="J140" s="42">
        <v>5.5</v>
      </c>
      <c r="K140" s="40" t="s">
        <v>124</v>
      </c>
      <c r="L140" s="42"/>
      <c r="M140" s="44">
        <f t="shared" si="2"/>
        <v>1.3653032440056416</v>
      </c>
    </row>
    <row r="141" spans="1:13" x14ac:dyDescent="0.25">
      <c r="A141" s="43">
        <v>46002</v>
      </c>
      <c r="B141" s="40" t="s">
        <v>46</v>
      </c>
      <c r="C141" s="40" t="s">
        <v>127</v>
      </c>
      <c r="D141" s="41">
        <v>8</v>
      </c>
      <c r="E141" s="42">
        <v>68.900000000000006</v>
      </c>
      <c r="F141" s="42"/>
      <c r="G141" s="42">
        <v>95.6</v>
      </c>
      <c r="H141" s="41">
        <v>4378</v>
      </c>
      <c r="I141" s="42">
        <v>126.2</v>
      </c>
      <c r="J141" s="42">
        <v>-35.799999999999997</v>
      </c>
      <c r="K141" s="40" t="s">
        <v>123</v>
      </c>
      <c r="L141" s="42"/>
      <c r="M141" s="44">
        <f t="shared" si="2"/>
        <v>1.3875181422351233</v>
      </c>
    </row>
    <row r="142" spans="1:13" x14ac:dyDescent="0.25">
      <c r="A142" s="43">
        <v>46002</v>
      </c>
      <c r="B142" s="40" t="s">
        <v>45</v>
      </c>
      <c r="C142" s="40" t="s">
        <v>128</v>
      </c>
      <c r="D142" s="41">
        <v>1</v>
      </c>
      <c r="E142" s="42">
        <v>74.599999999999994</v>
      </c>
      <c r="F142" s="42"/>
      <c r="G142" s="42">
        <v>98.2</v>
      </c>
      <c r="H142" s="41">
        <v>5792</v>
      </c>
      <c r="I142" s="42">
        <v>131.6</v>
      </c>
      <c r="J142" s="42">
        <v>-38.4</v>
      </c>
      <c r="K142" s="40" t="s">
        <v>123</v>
      </c>
      <c r="L142" s="42"/>
      <c r="M142" s="44">
        <f t="shared" si="2"/>
        <v>1.316353887399464</v>
      </c>
    </row>
    <row r="143" spans="1:13" x14ac:dyDescent="0.25">
      <c r="A143" s="43">
        <v>46002</v>
      </c>
      <c r="B143" s="40" t="s">
        <v>45</v>
      </c>
      <c r="C143" s="40" t="s">
        <v>128</v>
      </c>
      <c r="D143" s="41">
        <v>2</v>
      </c>
      <c r="E143" s="42">
        <v>73.400000000000006</v>
      </c>
      <c r="F143" s="42"/>
      <c r="G143" s="42">
        <v>101.9</v>
      </c>
      <c r="H143" s="41">
        <v>6234</v>
      </c>
      <c r="I143" s="42">
        <v>135.69999999999999</v>
      </c>
      <c r="J143" s="42">
        <v>-41.8</v>
      </c>
      <c r="K143" s="40" t="s">
        <v>123</v>
      </c>
      <c r="L143" s="42"/>
      <c r="M143" s="44">
        <f t="shared" si="2"/>
        <v>1.388283378746594</v>
      </c>
    </row>
    <row r="144" spans="1:13" x14ac:dyDescent="0.25">
      <c r="A144" s="43">
        <v>46002</v>
      </c>
      <c r="B144" s="40" t="s">
        <v>45</v>
      </c>
      <c r="C144" s="40" t="s">
        <v>128</v>
      </c>
      <c r="D144" s="41">
        <v>3</v>
      </c>
      <c r="E144" s="42">
        <v>72.5</v>
      </c>
      <c r="F144" s="42"/>
      <c r="G144" s="42">
        <v>96.9</v>
      </c>
      <c r="H144" s="41">
        <v>5841</v>
      </c>
      <c r="I144" s="42">
        <v>128</v>
      </c>
      <c r="J144" s="42">
        <v>-4.9000000000000004</v>
      </c>
      <c r="K144" s="40" t="s">
        <v>123</v>
      </c>
      <c r="L144" s="42"/>
      <c r="M144" s="44">
        <f t="shared" si="2"/>
        <v>1.3365517241379312</v>
      </c>
    </row>
    <row r="145" spans="1:13" x14ac:dyDescent="0.25">
      <c r="A145" s="43">
        <v>46002</v>
      </c>
      <c r="B145" s="40" t="s">
        <v>45</v>
      </c>
      <c r="C145" s="40" t="s">
        <v>128</v>
      </c>
      <c r="D145" s="41">
        <v>4</v>
      </c>
      <c r="E145" s="42">
        <v>70.8</v>
      </c>
      <c r="F145" s="42"/>
      <c r="G145" s="42">
        <v>96.4</v>
      </c>
      <c r="H145" s="41">
        <v>6285</v>
      </c>
      <c r="I145" s="42">
        <v>126.6</v>
      </c>
      <c r="J145" s="42">
        <v>-30</v>
      </c>
      <c r="K145" s="40" t="s">
        <v>123</v>
      </c>
      <c r="L145" s="42"/>
      <c r="M145" s="44">
        <f t="shared" si="2"/>
        <v>1.361581920903955</v>
      </c>
    </row>
    <row r="146" spans="1:13" x14ac:dyDescent="0.25">
      <c r="A146" s="43">
        <v>46002</v>
      </c>
      <c r="B146" s="40" t="s">
        <v>45</v>
      </c>
      <c r="C146" s="40" t="s">
        <v>128</v>
      </c>
      <c r="D146" s="41">
        <v>5</v>
      </c>
      <c r="E146" s="42">
        <v>68.7</v>
      </c>
      <c r="F146" s="42"/>
      <c r="G146" s="42">
        <v>94.5</v>
      </c>
      <c r="H146" s="41">
        <v>5973</v>
      </c>
      <c r="I146" s="42">
        <v>122.1</v>
      </c>
      <c r="J146" s="42">
        <v>-2.8</v>
      </c>
      <c r="K146" s="40" t="s">
        <v>123</v>
      </c>
      <c r="L146" s="42"/>
      <c r="M146" s="44">
        <f t="shared" si="2"/>
        <v>1.3755458515283843</v>
      </c>
    </row>
    <row r="147" spans="1:13" x14ac:dyDescent="0.25">
      <c r="A147" s="43">
        <v>46002</v>
      </c>
      <c r="B147" s="40" t="s">
        <v>45</v>
      </c>
      <c r="C147" s="40" t="s">
        <v>128</v>
      </c>
      <c r="D147" s="41">
        <v>6</v>
      </c>
      <c r="E147" s="42">
        <v>67</v>
      </c>
      <c r="F147" s="42"/>
      <c r="G147" s="42">
        <v>92.5</v>
      </c>
      <c r="H147" s="41">
        <v>5829</v>
      </c>
      <c r="I147" s="42">
        <v>117.7</v>
      </c>
      <c r="J147" s="42">
        <v>-1.5</v>
      </c>
      <c r="K147" s="40" t="s">
        <v>123</v>
      </c>
      <c r="L147" s="42"/>
      <c r="M147" s="44">
        <f t="shared" si="2"/>
        <v>1.3805970149253732</v>
      </c>
    </row>
    <row r="148" spans="1:13" x14ac:dyDescent="0.25">
      <c r="A148" s="43">
        <v>46002</v>
      </c>
      <c r="B148" s="40" t="s">
        <v>45</v>
      </c>
      <c r="C148" s="40" t="s">
        <v>128</v>
      </c>
      <c r="D148" s="41">
        <v>7</v>
      </c>
      <c r="E148" s="42">
        <v>68.5</v>
      </c>
      <c r="F148" s="42"/>
      <c r="G148" s="42">
        <v>87.3</v>
      </c>
      <c r="H148" s="41">
        <v>4354</v>
      </c>
      <c r="I148" s="42">
        <v>92.8</v>
      </c>
      <c r="J148" s="42">
        <v>19</v>
      </c>
      <c r="K148" s="40" t="s">
        <v>124</v>
      </c>
      <c r="L148" s="42"/>
      <c r="M148" s="44">
        <f t="shared" si="2"/>
        <v>1.2744525547445256</v>
      </c>
    </row>
    <row r="149" spans="1:13" x14ac:dyDescent="0.25">
      <c r="A149" s="43">
        <v>46002</v>
      </c>
      <c r="B149" s="40" t="s">
        <v>45</v>
      </c>
      <c r="C149" s="40" t="s">
        <v>128</v>
      </c>
      <c r="D149" s="41">
        <v>8</v>
      </c>
      <c r="E149" s="42">
        <v>70.5</v>
      </c>
      <c r="F149" s="42"/>
      <c r="G149" s="42">
        <v>96.8</v>
      </c>
      <c r="H149" s="41">
        <v>5045</v>
      </c>
      <c r="I149" s="42">
        <v>123.7</v>
      </c>
      <c r="J149" s="42">
        <v>-84.5</v>
      </c>
      <c r="K149" s="40" t="s">
        <v>123</v>
      </c>
      <c r="L149" s="42"/>
      <c r="M149" s="44">
        <f t="shared" si="2"/>
        <v>1.3730496453900709</v>
      </c>
    </row>
    <row r="150" spans="1:13" x14ac:dyDescent="0.25">
      <c r="A150" s="43">
        <v>46002</v>
      </c>
      <c r="B150" s="40" t="s">
        <v>45</v>
      </c>
      <c r="C150" s="40" t="s">
        <v>128</v>
      </c>
      <c r="D150" s="41">
        <v>9</v>
      </c>
      <c r="E150" s="42">
        <v>69.2</v>
      </c>
      <c r="F150" s="42"/>
      <c r="G150" s="42">
        <v>92.9</v>
      </c>
      <c r="H150" s="41">
        <v>6000</v>
      </c>
      <c r="I150" s="42">
        <v>121.8</v>
      </c>
      <c r="J150" s="42">
        <v>18.399999999999999</v>
      </c>
      <c r="K150" s="40" t="s">
        <v>124</v>
      </c>
      <c r="L150" s="42"/>
      <c r="M150" s="44">
        <f t="shared" si="2"/>
        <v>1.3424855491329479</v>
      </c>
    </row>
    <row r="151" spans="1:13" x14ac:dyDescent="0.25">
      <c r="A151" s="43">
        <v>46002</v>
      </c>
      <c r="B151" s="40" t="s">
        <v>45</v>
      </c>
      <c r="C151" s="40" t="s">
        <v>128</v>
      </c>
      <c r="D151" s="41">
        <v>10</v>
      </c>
      <c r="E151" s="42">
        <v>66.2</v>
      </c>
      <c r="F151" s="42"/>
      <c r="G151" s="42">
        <v>91.4</v>
      </c>
      <c r="H151" s="41">
        <v>5625</v>
      </c>
      <c r="I151" s="42">
        <v>117.1</v>
      </c>
      <c r="J151" s="42">
        <v>-12.5</v>
      </c>
      <c r="K151" s="40" t="s">
        <v>123</v>
      </c>
      <c r="L151" s="42"/>
      <c r="M151" s="44">
        <f t="shared" si="2"/>
        <v>1.3806646525679758</v>
      </c>
    </row>
    <row r="152" spans="1:13" x14ac:dyDescent="0.25">
      <c r="A152" s="43">
        <v>46002</v>
      </c>
      <c r="B152" s="40" t="s">
        <v>45</v>
      </c>
      <c r="C152" s="40" t="s">
        <v>128</v>
      </c>
      <c r="D152" s="41">
        <v>11</v>
      </c>
      <c r="E152" s="42">
        <v>58.9</v>
      </c>
      <c r="F152" s="42"/>
      <c r="G152" s="42">
        <v>75.2</v>
      </c>
      <c r="H152" s="41">
        <v>4098</v>
      </c>
      <c r="I152" s="42">
        <v>85.8</v>
      </c>
      <c r="J152" s="42">
        <v>3.5</v>
      </c>
      <c r="K152" s="40" t="s">
        <v>124</v>
      </c>
      <c r="L152" s="42"/>
      <c r="M152" s="44">
        <f t="shared" si="2"/>
        <v>1.2767402376910018</v>
      </c>
    </row>
    <row r="153" spans="1:13" x14ac:dyDescent="0.25">
      <c r="A153" s="43">
        <v>46002</v>
      </c>
      <c r="B153" s="40" t="s">
        <v>45</v>
      </c>
      <c r="C153" s="40" t="s">
        <v>128</v>
      </c>
      <c r="D153" s="41">
        <v>12</v>
      </c>
      <c r="E153" s="42">
        <v>69.2</v>
      </c>
      <c r="F153" s="42"/>
      <c r="G153" s="42">
        <v>86.2</v>
      </c>
      <c r="H153" s="41">
        <v>5325</v>
      </c>
      <c r="I153" s="42">
        <v>107.4</v>
      </c>
      <c r="J153" s="42">
        <v>11.9</v>
      </c>
      <c r="K153" s="40" t="s">
        <v>124</v>
      </c>
      <c r="L153" s="42"/>
      <c r="M153" s="44">
        <f t="shared" si="2"/>
        <v>1.245664739884393</v>
      </c>
    </row>
    <row r="154" spans="1:13" x14ac:dyDescent="0.25">
      <c r="A154" s="43">
        <v>46002</v>
      </c>
      <c r="B154" s="40" t="s">
        <v>45</v>
      </c>
      <c r="C154" s="40" t="s">
        <v>128</v>
      </c>
      <c r="D154" s="41">
        <v>13</v>
      </c>
      <c r="E154" s="42">
        <v>70.5</v>
      </c>
      <c r="F154" s="42"/>
      <c r="G154" s="42">
        <v>95.8</v>
      </c>
      <c r="H154" s="41">
        <v>5928</v>
      </c>
      <c r="I154" s="42">
        <v>118.7</v>
      </c>
      <c r="J154" s="42">
        <v>-4.5</v>
      </c>
      <c r="K154" s="40" t="s">
        <v>123</v>
      </c>
      <c r="L154" s="42"/>
      <c r="M154" s="44">
        <f t="shared" si="2"/>
        <v>1.3588652482269503</v>
      </c>
    </row>
    <row r="155" spans="1:13" x14ac:dyDescent="0.25">
      <c r="A155" s="43">
        <v>46002</v>
      </c>
      <c r="B155" s="40" t="s">
        <v>45</v>
      </c>
      <c r="C155" s="40" t="s">
        <v>128</v>
      </c>
      <c r="D155" s="41">
        <v>14</v>
      </c>
      <c r="E155" s="42">
        <v>62.8</v>
      </c>
      <c r="F155" s="42"/>
      <c r="G155" s="42">
        <v>85.1</v>
      </c>
      <c r="H155" s="41">
        <v>3252</v>
      </c>
      <c r="I155" s="42">
        <v>60.8</v>
      </c>
      <c r="J155" s="42">
        <v>-15.3</v>
      </c>
      <c r="K155" s="40" t="s">
        <v>123</v>
      </c>
      <c r="L155" s="42"/>
      <c r="M155" s="44">
        <f t="shared" si="2"/>
        <v>1.3550955414012738</v>
      </c>
    </row>
    <row r="156" spans="1:13" x14ac:dyDescent="0.25">
      <c r="A156" s="43">
        <v>46002</v>
      </c>
      <c r="B156" s="40" t="s">
        <v>129</v>
      </c>
      <c r="C156" s="40" t="s">
        <v>44</v>
      </c>
      <c r="D156" s="41">
        <v>1</v>
      </c>
      <c r="E156" s="42">
        <v>78.400000000000006</v>
      </c>
      <c r="F156" s="42"/>
      <c r="G156" s="42">
        <v>101.3</v>
      </c>
      <c r="H156" s="41">
        <v>7964</v>
      </c>
      <c r="I156" s="42">
        <v>129.69999999999999</v>
      </c>
      <c r="J156" s="42">
        <v>-54.8</v>
      </c>
      <c r="K156" s="40" t="s">
        <v>123</v>
      </c>
      <c r="L156" s="42"/>
      <c r="M156" s="44">
        <f t="shared" si="2"/>
        <v>1.2920918367346939</v>
      </c>
    </row>
    <row r="157" spans="1:13" x14ac:dyDescent="0.25">
      <c r="A157" s="43">
        <v>46002</v>
      </c>
      <c r="B157" s="40" t="s">
        <v>129</v>
      </c>
      <c r="C157" s="40" t="s">
        <v>44</v>
      </c>
      <c r="D157" s="41">
        <v>2</v>
      </c>
      <c r="E157" s="42">
        <v>72.7</v>
      </c>
      <c r="F157" s="42"/>
      <c r="G157" s="42">
        <v>91.4</v>
      </c>
      <c r="H157" s="41">
        <v>7452</v>
      </c>
      <c r="I157" s="42">
        <v>115.7</v>
      </c>
      <c r="J157" s="42">
        <v>-23.1</v>
      </c>
      <c r="K157" s="40" t="s">
        <v>123</v>
      </c>
      <c r="L157" s="42"/>
      <c r="M157" s="44">
        <f t="shared" si="2"/>
        <v>1.2572214580467675</v>
      </c>
    </row>
    <row r="158" spans="1:13" x14ac:dyDescent="0.25">
      <c r="A158" s="43">
        <v>46002</v>
      </c>
      <c r="B158" s="40" t="s">
        <v>129</v>
      </c>
      <c r="C158" s="40" t="s">
        <v>44</v>
      </c>
      <c r="D158" s="41">
        <v>3</v>
      </c>
      <c r="E158" s="42">
        <v>71.3</v>
      </c>
      <c r="F158" s="42"/>
      <c r="G158" s="42">
        <v>91.3</v>
      </c>
      <c r="H158" s="41">
        <v>7528</v>
      </c>
      <c r="I158" s="42">
        <v>115.2</v>
      </c>
      <c r="J158" s="42">
        <v>-42.8</v>
      </c>
      <c r="K158" s="40" t="s">
        <v>123</v>
      </c>
      <c r="L158" s="42"/>
      <c r="M158" s="44">
        <f t="shared" si="2"/>
        <v>1.2805049088359046</v>
      </c>
    </row>
    <row r="159" spans="1:13" x14ac:dyDescent="0.25">
      <c r="A159" s="43">
        <v>46002</v>
      </c>
      <c r="B159" s="40" t="s">
        <v>129</v>
      </c>
      <c r="C159" s="40" t="s">
        <v>44</v>
      </c>
      <c r="D159" s="41">
        <v>4</v>
      </c>
      <c r="E159" s="42">
        <v>80.400000000000006</v>
      </c>
      <c r="F159" s="42"/>
      <c r="G159" s="42">
        <v>104.5</v>
      </c>
      <c r="H159" s="41">
        <v>5067</v>
      </c>
      <c r="I159" s="42">
        <v>122.3</v>
      </c>
      <c r="J159" s="42">
        <v>-95.5</v>
      </c>
      <c r="K159" s="40" t="s">
        <v>123</v>
      </c>
      <c r="L159" s="42"/>
      <c r="M159" s="44">
        <f t="shared" si="2"/>
        <v>1.2997512437810945</v>
      </c>
    </row>
    <row r="160" spans="1:13" x14ac:dyDescent="0.25">
      <c r="A160" s="43">
        <v>46002</v>
      </c>
      <c r="B160" s="40" t="s">
        <v>129</v>
      </c>
      <c r="C160" s="40" t="s">
        <v>44</v>
      </c>
      <c r="D160" s="41">
        <v>5</v>
      </c>
      <c r="E160" s="42">
        <v>78.2</v>
      </c>
      <c r="F160" s="42"/>
      <c r="G160" s="42">
        <v>99.8</v>
      </c>
      <c r="H160" s="41">
        <v>6612</v>
      </c>
      <c r="I160" s="42">
        <v>122.6</v>
      </c>
      <c r="J160" s="42">
        <v>-78.599999999999994</v>
      </c>
      <c r="K160" s="40" t="s">
        <v>123</v>
      </c>
      <c r="L160" s="42"/>
      <c r="M160" s="44">
        <f t="shared" si="2"/>
        <v>1.2762148337595907</v>
      </c>
    </row>
    <row r="161" spans="1:13" x14ac:dyDescent="0.25">
      <c r="A161" s="43">
        <v>46002</v>
      </c>
      <c r="B161" s="40" t="s">
        <v>129</v>
      </c>
      <c r="C161" s="40" t="s">
        <v>44</v>
      </c>
      <c r="D161" s="41">
        <v>6</v>
      </c>
      <c r="E161" s="42">
        <v>73.400000000000006</v>
      </c>
      <c r="F161" s="42"/>
      <c r="G161" s="42">
        <v>90.6</v>
      </c>
      <c r="H161" s="41">
        <v>7310</v>
      </c>
      <c r="I161" s="42">
        <v>114.2</v>
      </c>
      <c r="J161" s="42">
        <v>-40.5</v>
      </c>
      <c r="K161" s="40" t="s">
        <v>123</v>
      </c>
      <c r="L161" s="42"/>
      <c r="M161" s="44">
        <f t="shared" si="2"/>
        <v>1.2343324250681198</v>
      </c>
    </row>
    <row r="162" spans="1:13" x14ac:dyDescent="0.25">
      <c r="A162" s="43">
        <v>46002</v>
      </c>
      <c r="B162" s="40" t="s">
        <v>129</v>
      </c>
      <c r="C162" s="40" t="s">
        <v>44</v>
      </c>
      <c r="D162" s="41">
        <v>7</v>
      </c>
      <c r="E162" s="42">
        <v>75.900000000000006</v>
      </c>
      <c r="F162" s="42"/>
      <c r="G162" s="42">
        <v>100.7</v>
      </c>
      <c r="H162" s="41">
        <v>7481</v>
      </c>
      <c r="I162" s="42">
        <v>128.4</v>
      </c>
      <c r="J162" s="42">
        <v>-108.8</v>
      </c>
      <c r="K162" s="40" t="s">
        <v>123</v>
      </c>
      <c r="L162" s="42"/>
      <c r="M162" s="44">
        <f t="shared" si="2"/>
        <v>1.3267457180500659</v>
      </c>
    </row>
    <row r="163" spans="1:13" x14ac:dyDescent="0.25">
      <c r="A163" s="43">
        <v>46002</v>
      </c>
      <c r="B163" s="40" t="s">
        <v>129</v>
      </c>
      <c r="C163" s="40" t="s">
        <v>44</v>
      </c>
      <c r="D163" s="41">
        <v>8</v>
      </c>
      <c r="E163" s="42">
        <v>81</v>
      </c>
      <c r="F163" s="42"/>
      <c r="G163" s="42">
        <v>101.9</v>
      </c>
      <c r="H163" s="41">
        <v>7125</v>
      </c>
      <c r="I163" s="42">
        <v>132.6</v>
      </c>
      <c r="J163" s="42">
        <v>16.7</v>
      </c>
      <c r="K163" s="40" t="s">
        <v>124</v>
      </c>
      <c r="L163" s="42"/>
      <c r="M163" s="44">
        <f t="shared" si="2"/>
        <v>1.2580246913580249</v>
      </c>
    </row>
    <row r="164" spans="1:13" x14ac:dyDescent="0.25">
      <c r="A164" s="43">
        <v>46002</v>
      </c>
      <c r="B164" s="40" t="s">
        <v>129</v>
      </c>
      <c r="C164" s="40" t="s">
        <v>44</v>
      </c>
      <c r="D164" s="41">
        <v>9</v>
      </c>
      <c r="E164" s="42">
        <v>74.7</v>
      </c>
      <c r="F164" s="42"/>
      <c r="G164" s="42">
        <v>95.5</v>
      </c>
      <c r="H164" s="41">
        <v>8622</v>
      </c>
      <c r="I164" s="42">
        <v>120.6</v>
      </c>
      <c r="J164" s="42">
        <v>40.6</v>
      </c>
      <c r="K164" s="40" t="s">
        <v>124</v>
      </c>
      <c r="L164" s="42"/>
      <c r="M164" s="44">
        <f t="shared" si="2"/>
        <v>1.2784471218206157</v>
      </c>
    </row>
    <row r="165" spans="1:13" x14ac:dyDescent="0.25">
      <c r="A165" s="43">
        <v>46002</v>
      </c>
      <c r="B165" s="40" t="s">
        <v>129</v>
      </c>
      <c r="C165" s="40" t="s">
        <v>44</v>
      </c>
      <c r="D165" s="41">
        <v>10</v>
      </c>
      <c r="E165" s="42">
        <v>76.5</v>
      </c>
      <c r="F165" s="42"/>
      <c r="G165" s="42">
        <v>94.7</v>
      </c>
      <c r="H165" s="41">
        <v>7988</v>
      </c>
      <c r="I165" s="42">
        <v>120.2</v>
      </c>
      <c r="J165" s="42">
        <v>-17.399999999999999</v>
      </c>
      <c r="K165" s="40" t="s">
        <v>123</v>
      </c>
      <c r="L165" s="42"/>
      <c r="M165" s="44">
        <f t="shared" si="2"/>
        <v>1.2379084967320262</v>
      </c>
    </row>
    <row r="166" spans="1:13" x14ac:dyDescent="0.25">
      <c r="A166" s="43">
        <v>46002</v>
      </c>
      <c r="B166" s="40" t="s">
        <v>129</v>
      </c>
      <c r="C166" s="40" t="s">
        <v>44</v>
      </c>
      <c r="D166" s="41">
        <v>11</v>
      </c>
      <c r="E166" s="42">
        <v>74.2</v>
      </c>
      <c r="F166" s="42"/>
      <c r="G166" s="42">
        <v>99.8</v>
      </c>
      <c r="H166" s="41">
        <v>7228</v>
      </c>
      <c r="I166" s="42">
        <v>130.1</v>
      </c>
      <c r="J166" s="42">
        <v>-22.4</v>
      </c>
      <c r="K166" s="40" t="s">
        <v>123</v>
      </c>
      <c r="L166" s="42"/>
      <c r="M166" s="44">
        <f t="shared" si="2"/>
        <v>1.3450134770889488</v>
      </c>
    </row>
    <row r="167" spans="1:13" x14ac:dyDescent="0.25">
      <c r="A167" s="43">
        <v>46002</v>
      </c>
      <c r="B167" s="40" t="s">
        <v>129</v>
      </c>
      <c r="C167" s="40" t="s">
        <v>44</v>
      </c>
      <c r="D167" s="41">
        <v>12</v>
      </c>
      <c r="E167" s="42">
        <v>78.8</v>
      </c>
      <c r="F167" s="42"/>
      <c r="G167" s="42">
        <v>100.4</v>
      </c>
      <c r="H167" s="41">
        <v>7244</v>
      </c>
      <c r="I167" s="42">
        <v>129.9</v>
      </c>
      <c r="J167" s="42">
        <v>-56.3</v>
      </c>
      <c r="K167" s="40" t="s">
        <v>123</v>
      </c>
      <c r="L167" s="42"/>
      <c r="M167" s="44">
        <f t="shared" si="2"/>
        <v>1.2741116751269037</v>
      </c>
    </row>
    <row r="168" spans="1:13" x14ac:dyDescent="0.25">
      <c r="A168" s="43">
        <v>46002</v>
      </c>
      <c r="B168" s="40" t="s">
        <v>129</v>
      </c>
      <c r="C168" s="40" t="s">
        <v>44</v>
      </c>
      <c r="D168" s="41">
        <v>13</v>
      </c>
      <c r="E168" s="42">
        <v>76.599999999999994</v>
      </c>
      <c r="F168" s="42"/>
      <c r="G168" s="42">
        <v>100.2</v>
      </c>
      <c r="H168" s="41">
        <v>7666</v>
      </c>
      <c r="I168" s="42">
        <v>129.19999999999999</v>
      </c>
      <c r="J168" s="42">
        <v>-36.200000000000003</v>
      </c>
      <c r="K168" s="40" t="s">
        <v>123</v>
      </c>
      <c r="L168" s="42"/>
      <c r="M168" s="44">
        <f t="shared" si="2"/>
        <v>1.3080939947780681</v>
      </c>
    </row>
    <row r="169" spans="1:13" x14ac:dyDescent="0.25">
      <c r="A169" s="43">
        <v>46002</v>
      </c>
      <c r="B169" s="40" t="s">
        <v>129</v>
      </c>
      <c r="C169" s="40" t="s">
        <v>44</v>
      </c>
      <c r="D169" s="41">
        <v>14</v>
      </c>
      <c r="E169" s="42">
        <v>64.2</v>
      </c>
      <c r="F169" s="42"/>
      <c r="G169" s="42">
        <v>80.900000000000006</v>
      </c>
      <c r="H169" s="41">
        <v>6758</v>
      </c>
      <c r="I169" s="42">
        <v>98.9</v>
      </c>
      <c r="J169" s="42">
        <v>6.5</v>
      </c>
      <c r="K169" s="40" t="s">
        <v>124</v>
      </c>
      <c r="L169" s="42"/>
      <c r="M169" s="44">
        <f t="shared" si="2"/>
        <v>1.2601246105919004</v>
      </c>
    </row>
    <row r="170" spans="1:13" x14ac:dyDescent="0.25">
      <c r="A170" s="43">
        <v>46002</v>
      </c>
      <c r="B170" s="40" t="s">
        <v>129</v>
      </c>
      <c r="C170" s="40" t="s">
        <v>44</v>
      </c>
      <c r="D170" s="41">
        <v>15</v>
      </c>
      <c r="E170" s="42">
        <v>77</v>
      </c>
      <c r="F170" s="42"/>
      <c r="G170" s="42">
        <v>101.3</v>
      </c>
      <c r="H170" s="41">
        <v>8358</v>
      </c>
      <c r="I170" s="42">
        <v>130.1</v>
      </c>
      <c r="J170" s="42">
        <v>-2.4</v>
      </c>
      <c r="K170" s="40" t="s">
        <v>123</v>
      </c>
      <c r="L170" s="42"/>
      <c r="M170" s="44">
        <f t="shared" si="2"/>
        <v>1.3155844155844156</v>
      </c>
    </row>
    <row r="171" spans="1:13" x14ac:dyDescent="0.25">
      <c r="A171" s="43">
        <v>46002</v>
      </c>
      <c r="B171" s="40" t="s">
        <v>129</v>
      </c>
      <c r="C171" s="40" t="s">
        <v>44</v>
      </c>
      <c r="D171" s="41">
        <v>16</v>
      </c>
      <c r="E171" s="42">
        <v>76.8</v>
      </c>
      <c r="F171" s="42"/>
      <c r="G171" s="42">
        <v>102.9</v>
      </c>
      <c r="H171" s="41">
        <v>7453</v>
      </c>
      <c r="I171" s="42">
        <v>133.5</v>
      </c>
      <c r="J171" s="42">
        <v>-67.900000000000006</v>
      </c>
      <c r="K171" s="40" t="s">
        <v>123</v>
      </c>
      <c r="L171" s="42"/>
      <c r="M171" s="44">
        <f t="shared" si="2"/>
        <v>1.3398437500000002</v>
      </c>
    </row>
    <row r="172" spans="1:13" x14ac:dyDescent="0.25">
      <c r="A172" s="43">
        <v>46002</v>
      </c>
      <c r="B172" s="40" t="s">
        <v>129</v>
      </c>
      <c r="C172" s="40" t="s">
        <v>44</v>
      </c>
      <c r="D172" s="41">
        <v>17</v>
      </c>
      <c r="E172" s="42">
        <v>73.099999999999994</v>
      </c>
      <c r="F172" s="42"/>
      <c r="G172" s="42">
        <v>85.5</v>
      </c>
      <c r="H172" s="41">
        <v>7664</v>
      </c>
      <c r="I172" s="42">
        <v>104.8</v>
      </c>
      <c r="J172" s="42">
        <v>-17.8</v>
      </c>
      <c r="K172" s="40" t="s">
        <v>123</v>
      </c>
      <c r="L172" s="42"/>
      <c r="M172" s="44">
        <f t="shared" si="2"/>
        <v>1.1696306429548564</v>
      </c>
    </row>
    <row r="173" spans="1:13" x14ac:dyDescent="0.25">
      <c r="A173" s="43">
        <v>46002</v>
      </c>
      <c r="B173" s="40" t="s">
        <v>129</v>
      </c>
      <c r="C173" s="40" t="s">
        <v>44</v>
      </c>
      <c r="D173" s="41">
        <v>18</v>
      </c>
      <c r="E173" s="42">
        <v>74.400000000000006</v>
      </c>
      <c r="F173" s="42"/>
      <c r="G173" s="42">
        <v>98.2</v>
      </c>
      <c r="H173" s="41">
        <v>7216</v>
      </c>
      <c r="I173" s="42">
        <v>125.5</v>
      </c>
      <c r="J173" s="42">
        <v>-107.6</v>
      </c>
      <c r="K173" s="40" t="s">
        <v>123</v>
      </c>
      <c r="L173" s="42"/>
      <c r="M173" s="44">
        <f t="shared" si="2"/>
        <v>1.3198924731182795</v>
      </c>
    </row>
    <row r="174" spans="1:13" x14ac:dyDescent="0.25">
      <c r="A174" s="43">
        <v>46002</v>
      </c>
      <c r="B174" s="40" t="s">
        <v>129</v>
      </c>
      <c r="C174" s="40" t="s">
        <v>44</v>
      </c>
      <c r="D174" s="41">
        <v>19</v>
      </c>
      <c r="E174" s="42">
        <v>78.400000000000006</v>
      </c>
      <c r="F174" s="42"/>
      <c r="G174" s="42">
        <v>97.9</v>
      </c>
      <c r="H174" s="41">
        <v>8410</v>
      </c>
      <c r="I174" s="42">
        <v>123.9</v>
      </c>
      <c r="J174" s="42">
        <v>20.9</v>
      </c>
      <c r="K174" s="40" t="s">
        <v>124</v>
      </c>
      <c r="L174" s="42"/>
      <c r="M174" s="44">
        <f t="shared" si="2"/>
        <v>1.2487244897959184</v>
      </c>
    </row>
    <row r="175" spans="1:13" x14ac:dyDescent="0.25">
      <c r="A175" s="43">
        <v>46002</v>
      </c>
      <c r="B175" s="40" t="s">
        <v>129</v>
      </c>
      <c r="C175" s="40" t="s">
        <v>44</v>
      </c>
      <c r="D175" s="41">
        <v>20</v>
      </c>
      <c r="E175" s="42">
        <v>79.400000000000006</v>
      </c>
      <c r="F175" s="42"/>
      <c r="G175" s="42">
        <v>103.8</v>
      </c>
      <c r="H175" s="41">
        <v>5039</v>
      </c>
      <c r="I175" s="42">
        <v>126.1</v>
      </c>
      <c r="J175" s="42">
        <v>-32.9</v>
      </c>
      <c r="K175" s="40" t="s">
        <v>123</v>
      </c>
      <c r="L175" s="42"/>
      <c r="M175" s="44">
        <f t="shared" si="2"/>
        <v>1.3073047858942064</v>
      </c>
    </row>
    <row r="176" spans="1:13" x14ac:dyDescent="0.25">
      <c r="A176" s="43">
        <v>46002</v>
      </c>
      <c r="B176" s="40" t="s">
        <v>129</v>
      </c>
      <c r="C176" s="40" t="s">
        <v>44</v>
      </c>
      <c r="D176" s="41">
        <v>21</v>
      </c>
      <c r="E176" s="42">
        <v>79.2</v>
      </c>
      <c r="F176" s="42"/>
      <c r="G176" s="42">
        <v>102.9</v>
      </c>
      <c r="H176" s="41">
        <v>7628</v>
      </c>
      <c r="I176" s="42">
        <v>134.1</v>
      </c>
      <c r="J176" s="42">
        <v>-39</v>
      </c>
      <c r="K176" s="40" t="s">
        <v>123</v>
      </c>
      <c r="L176" s="42"/>
      <c r="M176" s="44">
        <f t="shared" si="2"/>
        <v>1.2992424242424243</v>
      </c>
    </row>
    <row r="177" spans="1:13" x14ac:dyDescent="0.25">
      <c r="A177" s="43">
        <v>46002</v>
      </c>
      <c r="B177" s="40" t="s">
        <v>129</v>
      </c>
      <c r="C177" s="40" t="s">
        <v>44</v>
      </c>
      <c r="D177" s="41">
        <v>22</v>
      </c>
      <c r="E177" s="42">
        <v>74.099999999999994</v>
      </c>
      <c r="F177" s="42"/>
      <c r="G177" s="42">
        <v>93.4</v>
      </c>
      <c r="H177" s="41">
        <v>6971</v>
      </c>
      <c r="I177" s="42">
        <v>119.7</v>
      </c>
      <c r="J177" s="42">
        <v>-30.6</v>
      </c>
      <c r="K177" s="40" t="s">
        <v>123</v>
      </c>
      <c r="L177" s="42"/>
      <c r="M177" s="44">
        <f t="shared" si="2"/>
        <v>1.260458839406208</v>
      </c>
    </row>
    <row r="178" spans="1:13" x14ac:dyDescent="0.25">
      <c r="A178" s="43">
        <v>46002</v>
      </c>
      <c r="B178" s="40" t="s">
        <v>129</v>
      </c>
      <c r="C178" s="40" t="s">
        <v>44</v>
      </c>
      <c r="D178" s="41">
        <v>23</v>
      </c>
      <c r="E178" s="42">
        <v>76.099999999999994</v>
      </c>
      <c r="F178" s="42"/>
      <c r="G178" s="42">
        <v>96.4</v>
      </c>
      <c r="H178" s="41">
        <v>7460</v>
      </c>
      <c r="I178" s="42">
        <v>123.3</v>
      </c>
      <c r="J178" s="42">
        <v>-28.9</v>
      </c>
      <c r="K178" s="40" t="s">
        <v>123</v>
      </c>
      <c r="L178" s="42"/>
      <c r="M178" s="44">
        <f t="shared" si="2"/>
        <v>1.2667542706964523</v>
      </c>
    </row>
    <row r="179" spans="1:13" x14ac:dyDescent="0.25">
      <c r="A179" s="43">
        <v>46002</v>
      </c>
      <c r="B179" s="40" t="s">
        <v>129</v>
      </c>
      <c r="C179" s="40" t="s">
        <v>44</v>
      </c>
      <c r="D179" s="41">
        <v>24</v>
      </c>
      <c r="E179" s="42">
        <v>71.2</v>
      </c>
      <c r="F179" s="42"/>
      <c r="G179" s="42">
        <v>88.6</v>
      </c>
      <c r="H179" s="41">
        <v>7635</v>
      </c>
      <c r="I179" s="42">
        <v>110.1</v>
      </c>
      <c r="J179" s="42">
        <v>21.7</v>
      </c>
      <c r="K179" s="40" t="s">
        <v>124</v>
      </c>
      <c r="L179" s="42"/>
      <c r="M179" s="44">
        <f t="shared" si="2"/>
        <v>1.24438202247191</v>
      </c>
    </row>
    <row r="180" spans="1:13" x14ac:dyDescent="0.25">
      <c r="A180" s="48">
        <v>46002</v>
      </c>
      <c r="B180" s="49" t="s">
        <v>129</v>
      </c>
      <c r="C180" s="49" t="s">
        <v>44</v>
      </c>
      <c r="D180" s="50">
        <v>25</v>
      </c>
      <c r="E180" s="51">
        <v>76.599999999999994</v>
      </c>
      <c r="F180" s="51"/>
      <c r="G180" s="51">
        <v>98</v>
      </c>
      <c r="H180" s="50">
        <v>7171</v>
      </c>
      <c r="I180" s="51">
        <v>126.8</v>
      </c>
      <c r="J180" s="51">
        <v>-55.3</v>
      </c>
      <c r="K180" s="49" t="s">
        <v>123</v>
      </c>
      <c r="L180" s="51"/>
      <c r="M180" s="52">
        <f t="shared" si="2"/>
        <v>1.2793733681462143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Score Tracker</vt:lpstr>
      <vt:lpstr>Course Rankings</vt:lpstr>
      <vt:lpstr>PIVOT - Scores by Course</vt:lpstr>
      <vt:lpstr>DASH</vt:lpstr>
      <vt:lpstr>Sheet3</vt:lpstr>
      <vt:lpstr>PIVOT - Avg Scores (Full18)</vt:lpstr>
      <vt:lpstr>PIVOT - Avc HC (Full18)</vt:lpstr>
      <vt:lpstr>PIVOT - Courses (All Data)</vt:lpstr>
      <vt:lpstr>PIVOT - Front v Back (Full 18)</vt:lpstr>
      <vt:lpstr>Shots</vt:lpstr>
      <vt:lpstr>Put Tracker</vt:lpstr>
      <vt:lpstr>Yardages </vt:lpstr>
      <vt:lpstr>Shots Analysis</vt:lpstr>
      <vt:lpstr>DASH!Print_Area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Myers</dc:creator>
  <cp:lastModifiedBy>Kyle Myers</cp:lastModifiedBy>
  <cp:lastPrinted>2025-11-26T14:49:14Z</cp:lastPrinted>
  <dcterms:created xsi:type="dcterms:W3CDTF">2025-04-07T17:35:31Z</dcterms:created>
  <dcterms:modified xsi:type="dcterms:W3CDTF">2026-07-10T17:52:42Z</dcterms:modified>
</cp:coreProperties>
</file>